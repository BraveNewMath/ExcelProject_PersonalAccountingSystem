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5" yWindow="195" windowWidth="19875" windowHeight="7980" tabRatio="599"/>
  </bookViews>
  <sheets>
    <sheet name="PASMain" sheetId="3" r:id="rId1"/>
    <sheet name="PASInput" sheetId="1" r:id="rId2"/>
    <sheet name="PASOutput" sheetId="2" r:id="rId3"/>
    <sheet name="PASChart" sheetId="4" r:id="rId4"/>
    <sheet name="Settings" sheetId="5" r:id="rId5"/>
  </sheets>
  <functionGroups builtInGroupCount="17"/>
  <definedNames>
    <definedName name="_xlnm._FilterDatabase" localSheetId="2" hidden="1">PASOutput!$A$9:$O$21</definedName>
    <definedName name="Account">PASOutput!$G$9:$G$21</definedName>
    <definedName name="Accounts">PASInput!$A$16:$A$23</definedName>
    <definedName name="AccountsTable">PASInput!$A$16:$B$23</definedName>
    <definedName name="Bank_Issuer">PASOutput!$H$9:$H$21</definedName>
    <definedName name="Categories">PASInput!$E$16:$E$25</definedName>
    <definedName name="Category">PASOutput!$F$9:$F$21</definedName>
    <definedName name="Category_headers">PASOutput!$I$9:$O$9</definedName>
    <definedName name="CompleteTable">PASOutput!$A$9:$H$21</definedName>
    <definedName name="Date">PASOutput!$D$9:$D$21</definedName>
    <definedName name="Description">PASOutput!$C$9:$C$21</definedName>
    <definedName name="Dollar_Amount">PASOutput!$B$9:$B$21</definedName>
    <definedName name="EnableSoundEffects">Settings!$B$2</definedName>
    <definedName name="inputAccount">PASInput!$G$9</definedName>
    <definedName name="inputBank">PASInput!$H$9</definedName>
    <definedName name="inputCategory">PASInput!$F$9</definedName>
    <definedName name="inputDate">PASInput!$D$9</definedName>
    <definedName name="inputDescription">PASInput!$C$9</definedName>
    <definedName name="inputDollarAmount">PASInput!$B$9</definedName>
    <definedName name="inputPayee">PASInput!$E$9</definedName>
    <definedName name="inputRefNo">PASInput!$A$9</definedName>
    <definedName name="PASInputPrintArea">PASInput!$A$1:$L$30</definedName>
    <definedName name="Payee_Payer1">PASInput!$C$16:$C$25</definedName>
    <definedName name="PayeePayer">PASOutput!$E$9:$E$21</definedName>
    <definedName name="_xlnm.Print_Area" localSheetId="3">PASChart!$A$1:$U$39</definedName>
    <definedName name="_xlnm.Print_Area" localSheetId="2">PASOutput!$A$1:$Q$63</definedName>
    <definedName name="_xlnm.Print_Titles" localSheetId="1">PASInput!$1:$8</definedName>
    <definedName name="_xlnm.Print_Titles" localSheetId="2">PASOutput!$1:$9</definedName>
    <definedName name="Reference">PASOutput!$A$9:$A$21</definedName>
    <definedName name="soundAreYouSure">Settings!$B$7</definedName>
    <definedName name="soundDing">Settings!$B$8</definedName>
    <definedName name="soundMistake">Settings!$B$3</definedName>
    <definedName name="SoundOooh">Settings!$B$6</definedName>
    <definedName name="soundRimshot">Settings!$B$4</definedName>
    <definedName name="soundTada">Settings!$B$5</definedName>
    <definedName name="SumField">PASOutput!$I$23</definedName>
    <definedName name="SumField2">PASOutput!#REF!</definedName>
  </definedNames>
  <calcPr calcId="145621"/>
</workbook>
</file>

<file path=xl/calcChain.xml><?xml version="1.0" encoding="utf-8"?>
<calcChain xmlns="http://schemas.openxmlformats.org/spreadsheetml/2006/main">
  <c r="O10" i="2" l="1"/>
  <c r="N10" i="2"/>
  <c r="M10" i="2"/>
  <c r="L10" i="2"/>
  <c r="K10" i="2"/>
  <c r="J10" i="2"/>
  <c r="I10" i="2"/>
  <c r="H10" i="2"/>
  <c r="O11" i="2" l="1"/>
  <c r="N11" i="2"/>
  <c r="M11" i="2"/>
  <c r="L11" i="2"/>
  <c r="K11" i="2"/>
  <c r="J11" i="2"/>
  <c r="I11" i="2"/>
  <c r="H11" i="2"/>
  <c r="H9" i="1"/>
  <c r="K12" i="2"/>
  <c r="K13" i="2"/>
  <c r="K14" i="2"/>
  <c r="K15" i="2"/>
  <c r="K16" i="2"/>
  <c r="K17" i="2"/>
  <c r="K18" i="2"/>
  <c r="K19" i="2"/>
  <c r="K20" i="2"/>
  <c r="K21" i="2"/>
  <c r="J12" i="2"/>
  <c r="J13" i="2"/>
  <c r="J14" i="2"/>
  <c r="J15" i="2"/>
  <c r="J16" i="2"/>
  <c r="J17" i="2"/>
  <c r="J18" i="2"/>
  <c r="J19" i="2"/>
  <c r="J20" i="2"/>
  <c r="J21" i="2"/>
  <c r="L12" i="2"/>
  <c r="L13" i="2"/>
  <c r="L14" i="2"/>
  <c r="L15" i="2"/>
  <c r="L16" i="2"/>
  <c r="L17" i="2"/>
  <c r="L18" i="2"/>
  <c r="L19" i="2"/>
  <c r="L20" i="2"/>
  <c r="L21" i="2"/>
  <c r="M12" i="2"/>
  <c r="M13" i="2"/>
  <c r="M14" i="2"/>
  <c r="M15" i="2"/>
  <c r="M16" i="2"/>
  <c r="M17" i="2"/>
  <c r="M18" i="2"/>
  <c r="M19" i="2"/>
  <c r="M20" i="2"/>
  <c r="M21" i="2"/>
  <c r="N12" i="2"/>
  <c r="N13" i="2"/>
  <c r="N14" i="2"/>
  <c r="N15" i="2"/>
  <c r="N16" i="2"/>
  <c r="N17" i="2"/>
  <c r="N18" i="2"/>
  <c r="N19" i="2"/>
  <c r="N20" i="2"/>
  <c r="N21" i="2"/>
  <c r="O12" i="2"/>
  <c r="I12" i="2"/>
  <c r="H16" i="2"/>
  <c r="O13" i="2"/>
  <c r="I13" i="2"/>
  <c r="H15" i="2"/>
  <c r="O14" i="2"/>
  <c r="I14" i="2"/>
  <c r="H13" i="2"/>
  <c r="O15" i="2"/>
  <c r="I15" i="2"/>
  <c r="H20" i="2"/>
  <c r="H12" i="2"/>
  <c r="I21" i="2"/>
  <c r="O21" i="2"/>
  <c r="O16" i="2"/>
  <c r="I16" i="2"/>
  <c r="H14" i="2"/>
  <c r="O17" i="2"/>
  <c r="I17" i="2"/>
  <c r="H18" i="2"/>
  <c r="O18" i="2"/>
  <c r="I18" i="2"/>
  <c r="H19" i="2"/>
  <c r="I19" i="2"/>
  <c r="O19" i="2"/>
  <c r="I20" i="2"/>
  <c r="O20" i="2"/>
  <c r="H17" i="2"/>
  <c r="H21" i="2"/>
  <c r="K23" i="2" l="1"/>
  <c r="J23" i="2"/>
  <c r="L23" i="2"/>
  <c r="N23" i="2"/>
  <c r="M23" i="2"/>
  <c r="O23" i="2"/>
  <c r="I23" i="2"/>
  <c r="B23" i="2" l="1"/>
</calcChain>
</file>

<file path=xl/sharedStrings.xml><?xml version="1.0" encoding="utf-8"?>
<sst xmlns="http://schemas.openxmlformats.org/spreadsheetml/2006/main" count="138" uniqueCount="81">
  <si>
    <t>Account</t>
  </si>
  <si>
    <t>Bank/Issuer</t>
  </si>
  <si>
    <t>Union Bank of California</t>
  </si>
  <si>
    <t>Chase</t>
  </si>
  <si>
    <t>456-59-9922</t>
  </si>
  <si>
    <t>550-06-9345</t>
  </si>
  <si>
    <t>Categories</t>
  </si>
  <si>
    <t>Entertainment</t>
  </si>
  <si>
    <t>Reference</t>
  </si>
  <si>
    <t>Dollar Amount</t>
  </si>
  <si>
    <t>Description</t>
  </si>
  <si>
    <t>Date</t>
  </si>
  <si>
    <t>Payee/Payer</t>
  </si>
  <si>
    <t>Category</t>
  </si>
  <si>
    <t>Mortgage</t>
  </si>
  <si>
    <t>Gasoline</t>
  </si>
  <si>
    <t>Lease Payment</t>
  </si>
  <si>
    <t>Auto Lease</t>
  </si>
  <si>
    <t>Mercedes Benz Leasing Corp.</t>
  </si>
  <si>
    <t>Vacation</t>
  </si>
  <si>
    <t>PJ Travel Agency</t>
  </si>
  <si>
    <t>Chevron/GECRB</t>
  </si>
  <si>
    <t>Enter Account #</t>
  </si>
  <si>
    <t>Enter Bank/Issuer</t>
  </si>
  <si>
    <t>Enter Category</t>
  </si>
  <si>
    <t>Education</t>
  </si>
  <si>
    <t>Citibank</t>
  </si>
  <si>
    <t>Wells Fargo</t>
  </si>
  <si>
    <t>Bank of America</t>
  </si>
  <si>
    <t>Santa Monica</t>
  </si>
  <si>
    <t>Beverly Hills</t>
  </si>
  <si>
    <t>Chateau Marmont</t>
  </si>
  <si>
    <t>For Negative No./Enter (-)</t>
  </si>
  <si>
    <t>Andrew E. Castillo</t>
  </si>
  <si>
    <t>Alexander S. James</t>
  </si>
  <si>
    <t>Dinner (5)</t>
  </si>
  <si>
    <t>DJ/Hernan Cattaneo (3)</t>
  </si>
  <si>
    <t>Bahamas (1)</t>
  </si>
  <si>
    <t>SunTrust Mortgage Co.</t>
  </si>
  <si>
    <t>056-59-0372</t>
  </si>
  <si>
    <t>100-25-9879</t>
  </si>
  <si>
    <t>Bank of the Caymans</t>
  </si>
  <si>
    <t>123-55-2395</t>
  </si>
  <si>
    <t>200-25-2487</t>
  </si>
  <si>
    <t>222-35-0595</t>
  </si>
  <si>
    <t>345-67-0292</t>
  </si>
  <si>
    <t>Union Bank of Switzerland</t>
  </si>
  <si>
    <t>Auto Insurance</t>
  </si>
  <si>
    <t>AVCO Loan</t>
  </si>
  <si>
    <t>Home Mortgage</t>
  </si>
  <si>
    <t>April, 2013</t>
  </si>
  <si>
    <t>April, 2013 (7)</t>
  </si>
  <si>
    <t>`</t>
  </si>
  <si>
    <t>GBZ-SL65 (2)</t>
  </si>
  <si>
    <t>Gasoline (4)</t>
  </si>
  <si>
    <t>April Bill</t>
  </si>
  <si>
    <t>Lawry's Dinner (6)</t>
  </si>
  <si>
    <t>Allstate Insurance Co.</t>
  </si>
  <si>
    <t>Auto Insurance (8)</t>
  </si>
  <si>
    <t>Install. Loan (9)</t>
  </si>
  <si>
    <t>Avco Loan Co.</t>
  </si>
  <si>
    <t>Summer, 2013</t>
  </si>
  <si>
    <t>Tuition Fees (10)</t>
  </si>
  <si>
    <t>Cal State, Northridge</t>
  </si>
  <si>
    <t>test</t>
  </si>
  <si>
    <t>Current Value</t>
  </si>
  <si>
    <t>Enable Sound Effects</t>
  </si>
  <si>
    <t>Mistake Sound</t>
  </si>
  <si>
    <t>assets/mistake.wav</t>
  </si>
  <si>
    <t>assets/rimshot.wav</t>
  </si>
  <si>
    <t>Tada sound</t>
  </si>
  <si>
    <t>Rimshot sound</t>
  </si>
  <si>
    <t>assets/tada.wav</t>
  </si>
  <si>
    <t>Oooh Sound</t>
  </si>
  <si>
    <t>assets/ahh.wav</t>
  </si>
  <si>
    <t>Are you sure sound</t>
  </si>
  <si>
    <t>assets/areyousure.wav</t>
  </si>
  <si>
    <t>Ding Sound</t>
  </si>
  <si>
    <t>assets/ding.wav</t>
  </si>
  <si>
    <t>234r</t>
  </si>
  <si>
    <t>Candy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</si>
</sst>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2" fillId="0" borderId="0" xfId="0" applyFont="1"/>
    <xf numFmtId="0" fontId="0" fillId="0" borderId="0" xfId="0" applyBorder="1"/>
    <xf numFmtId="0" fontId="4" fillId="0" borderId="0" xfId="0" applyFont="1" applyBorder="1" applyAlignment="1">
      <alignment horizontal="left" vertical="top"/>
    </xf>
    <xf numFmtId="0" fontId="4" fillId="0" borderId="0" xfId="0" applyFont="1" applyBorder="1" applyAlignment="1">
      <alignment vertical="top"/>
    </xf>
    <xf numFmtId="0" fontId="6" fillId="0" borderId="0" xfId="0" applyFont="1"/>
    <xf numFmtId="0" fontId="0" fillId="0" borderId="7" xfId="0" applyFill="1" applyBorder="1"/>
    <xf numFmtId="0" fontId="0" fillId="0" borderId="6" xfId="0" applyFill="1" applyBorder="1"/>
    <xf numFmtId="0" fontId="0" fillId="0" borderId="3" xfId="0" applyFill="1" applyBorder="1"/>
    <xf numFmtId="0" fontId="3" fillId="3" borderId="0" xfId="0" applyFont="1" applyFill="1" applyAlignment="1">
      <alignment horizontal="left" vertical="top"/>
    </xf>
    <xf numFmtId="0" fontId="0" fillId="3" borderId="0" xfId="0" applyFill="1"/>
    <xf numFmtId="0" fontId="5" fillId="3" borderId="0" xfId="0" applyFont="1" applyFill="1" applyAlignment="1">
      <alignment horizontal="left" vertical="top"/>
    </xf>
    <xf numFmtId="0" fontId="0" fillId="3" borderId="0" xfId="0" applyFill="1" applyAlignment="1">
      <alignment wrapText="1"/>
    </xf>
    <xf numFmtId="0" fontId="0" fillId="3" borderId="1" xfId="0" applyFill="1" applyBorder="1"/>
    <xf numFmtId="0" fontId="0" fillId="3" borderId="0" xfId="0" applyFill="1" applyBorder="1"/>
    <xf numFmtId="0" fontId="7" fillId="3" borderId="0" xfId="0" applyFont="1" applyFill="1" applyAlignment="1">
      <alignment horizontal="left" vertical="top"/>
    </xf>
    <xf numFmtId="0" fontId="8" fillId="3" borderId="0" xfId="0" applyFont="1" applyFill="1" applyAlignment="1">
      <alignment horizontal="left" vertical="top"/>
    </xf>
    <xf numFmtId="0" fontId="9" fillId="4" borderId="8" xfId="0" applyFont="1" applyFill="1" applyBorder="1" applyAlignment="1">
      <alignment horizontal="center" wrapText="1"/>
    </xf>
    <xf numFmtId="0" fontId="9" fillId="4" borderId="11" xfId="0" applyFont="1" applyFill="1" applyBorder="1" applyAlignment="1">
      <alignment horizontal="center" wrapText="1"/>
    </xf>
    <xf numFmtId="0" fontId="6" fillId="3" borderId="0" xfId="0" applyFont="1" applyFill="1"/>
    <xf numFmtId="0" fontId="0" fillId="0" borderId="8" xfId="0" applyFill="1" applyBorder="1"/>
    <xf numFmtId="164" fontId="1" fillId="0" borderId="8" xfId="1" applyNumberFormat="1" applyFont="1" applyFill="1" applyBorder="1"/>
    <xf numFmtId="14" fontId="0" fillId="0" borderId="8" xfId="0" applyNumberFormat="1" applyFill="1" applyBorder="1"/>
    <xf numFmtId="0" fontId="9" fillId="4" borderId="4" xfId="0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49" fontId="9" fillId="4" borderId="2" xfId="0" applyNumberFormat="1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5" fillId="3" borderId="0" xfId="0" applyFont="1" applyFill="1" applyAlignment="1">
      <alignment vertical="top"/>
    </xf>
    <xf numFmtId="0" fontId="4" fillId="3" borderId="0" xfId="0" applyFont="1" applyFill="1" applyAlignment="1">
      <alignment vertical="top"/>
    </xf>
    <xf numFmtId="0" fontId="0" fillId="3" borderId="0" xfId="0" applyFill="1" applyBorder="1" applyAlignment="1">
      <alignment textRotation="45"/>
    </xf>
    <xf numFmtId="0" fontId="0" fillId="3" borderId="12" xfId="0" applyFill="1" applyBorder="1" applyAlignment="1">
      <alignment textRotation="45"/>
    </xf>
    <xf numFmtId="164" fontId="2" fillId="2" borderId="10" xfId="0" applyNumberFormat="1" applyFont="1" applyFill="1" applyBorder="1"/>
    <xf numFmtId="0" fontId="2" fillId="2" borderId="10" xfId="0" applyFont="1" applyFill="1" applyBorder="1"/>
    <xf numFmtId="0" fontId="3" fillId="3" borderId="0" xfId="0" applyFont="1" applyFill="1" applyAlignment="1">
      <alignment vertical="top"/>
    </xf>
    <xf numFmtId="0" fontId="0" fillId="2" borderId="0" xfId="0" applyFill="1" applyBorder="1"/>
    <xf numFmtId="49" fontId="0" fillId="2" borderId="0" xfId="0" applyNumberFormat="1" applyFill="1" applyBorder="1"/>
    <xf numFmtId="49" fontId="0" fillId="2" borderId="0" xfId="0" applyNumberFormat="1" applyFill="1"/>
    <xf numFmtId="0" fontId="0" fillId="2" borderId="0" xfId="0" applyFill="1"/>
    <xf numFmtId="0" fontId="0" fillId="0" borderId="13" xfId="0" applyFill="1" applyBorder="1"/>
    <xf numFmtId="164" fontId="1" fillId="0" borderId="13" xfId="1" applyNumberFormat="1" applyFont="1" applyFill="1" applyBorder="1"/>
    <xf numFmtId="14" fontId="0" fillId="0" borderId="13" xfId="0" applyNumberFormat="1" applyFill="1" applyBorder="1"/>
    <xf numFmtId="0" fontId="2" fillId="2" borderId="2" xfId="0" applyFont="1" applyFill="1" applyBorder="1"/>
    <xf numFmtId="164" fontId="2" fillId="2" borderId="1" xfId="0" applyNumberFormat="1" applyFont="1" applyFill="1" applyBorder="1"/>
    <xf numFmtId="0" fontId="2" fillId="2" borderId="1" xfId="0" applyFont="1" applyFill="1" applyBorder="1"/>
    <xf numFmtId="0" fontId="0" fillId="2" borderId="3" xfId="0" applyFill="1" applyBorder="1"/>
    <xf numFmtId="49" fontId="0" fillId="2" borderId="8" xfId="0" applyNumberFormat="1" applyFill="1" applyBorder="1"/>
    <xf numFmtId="164" fontId="1" fillId="2" borderId="8" xfId="1" applyNumberFormat="1" applyFont="1" applyFill="1" applyBorder="1"/>
    <xf numFmtId="0" fontId="0" fillId="2" borderId="8" xfId="0" applyFill="1" applyBorder="1"/>
    <xf numFmtId="14" fontId="0" fillId="2" borderId="8" xfId="0" applyNumberFormat="1" applyFill="1" applyBorder="1"/>
    <xf numFmtId="49" fontId="0" fillId="2" borderId="14" xfId="0" applyNumberFormat="1" applyFill="1" applyBorder="1"/>
    <xf numFmtId="164" fontId="1" fillId="2" borderId="14" xfId="1" applyNumberFormat="1" applyFont="1" applyFill="1" applyBorder="1"/>
    <xf numFmtId="0" fontId="0" fillId="2" borderId="14" xfId="0" applyFill="1" applyBorder="1"/>
    <xf numFmtId="14" fontId="0" fillId="2" borderId="14" xfId="0" applyNumberFormat="1" applyFill="1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" xfId="0" applyFill="1" applyBorder="1"/>
    <xf numFmtId="0" fontId="9" fillId="5" borderId="8" xfId="0" applyFont="1" applyFill="1" applyBorder="1" applyAlignment="1">
      <alignment textRotation="45"/>
    </xf>
    <xf numFmtId="0" fontId="9" fillId="5" borderId="11" xfId="0" applyFont="1" applyFill="1" applyBorder="1" applyAlignment="1">
      <alignment textRotation="45"/>
    </xf>
    <xf numFmtId="0" fontId="9" fillId="5" borderId="7" xfId="0" applyFont="1" applyFill="1" applyBorder="1" applyAlignment="1">
      <alignment textRotation="45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/>
    <xf numFmtId="0" fontId="0" fillId="2" borderId="0" xfId="0" applyFill="1" applyBorder="1" applyAlignment="1"/>
    <xf numFmtId="0" fontId="0" fillId="2" borderId="18" xfId="0" applyFill="1" applyBorder="1" applyAlignment="1"/>
    <xf numFmtId="0" fontId="0" fillId="2" borderId="13" xfId="0" applyFill="1" applyBorder="1"/>
    <xf numFmtId="0" fontId="0" fillId="0" borderId="0" xfId="0" applyFill="1"/>
    <xf numFmtId="0" fontId="0" fillId="0" borderId="0" xfId="0" applyFill="1" applyBorder="1"/>
    <xf numFmtId="0" fontId="3" fillId="3" borderId="0" xfId="0" applyFont="1" applyFill="1" applyAlignment="1">
      <alignment horizontal="left" vertical="top"/>
    </xf>
    <xf numFmtId="0" fontId="0" fillId="0" borderId="20" xfId="0" applyFill="1" applyBorder="1"/>
    <xf numFmtId="164" fontId="2" fillId="2" borderId="11" xfId="0" applyNumberFormat="1" applyFont="1" applyFill="1" applyBorder="1"/>
    <xf numFmtId="0" fontId="0" fillId="2" borderId="0" xfId="0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Personal Accounting System  (PAS) 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PASOutput!$I$9:$O$9</c:f>
              <c:strCache>
                <c:ptCount val="1"/>
                <c:pt idx="0">
                  <c:v>Auto Insurance Auto Lease AVCO Loan Education Entertainment Gasoline Home Mortgage</c:v>
                </c:pt>
              </c:strCache>
            </c:strRef>
          </c:tx>
          <c:dLbls>
            <c:txPr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PASOutput!$I$9:$O$9</c:f>
              <c:strCache>
                <c:ptCount val="7"/>
                <c:pt idx="0">
                  <c:v>Auto Insurance</c:v>
                </c:pt>
                <c:pt idx="1">
                  <c:v>Auto Lease</c:v>
                </c:pt>
                <c:pt idx="2">
                  <c:v>AVCO Loan</c:v>
                </c:pt>
                <c:pt idx="3">
                  <c:v>Education</c:v>
                </c:pt>
                <c:pt idx="4">
                  <c:v>Entertainment</c:v>
                </c:pt>
                <c:pt idx="5">
                  <c:v>Gasoline</c:v>
                </c:pt>
                <c:pt idx="6">
                  <c:v>Home Mortgage</c:v>
                </c:pt>
              </c:strCache>
            </c:strRef>
          </c:cat>
          <c:val>
            <c:numRef>
              <c:f>PASOutput!$I$23:$O$23</c:f>
              <c:numCache>
                <c:formatCode>"$"#,##0.00</c:formatCode>
                <c:ptCount val="7"/>
                <c:pt idx="0">
                  <c:v>446</c:v>
                </c:pt>
                <c:pt idx="1">
                  <c:v>1747</c:v>
                </c:pt>
                <c:pt idx="2">
                  <c:v>525</c:v>
                </c:pt>
                <c:pt idx="3">
                  <c:v>2366</c:v>
                </c:pt>
                <c:pt idx="4">
                  <c:v>6061</c:v>
                </c:pt>
                <c:pt idx="5">
                  <c:v>646</c:v>
                </c:pt>
                <c:pt idx="6">
                  <c:v>9790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6"/>
        <c:txPr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>
        <c:manualLayout>
          <c:xMode val="edge"/>
          <c:yMode val="edge"/>
          <c:x val="0.77803133814049485"/>
          <c:y val="0.16350236220472442"/>
          <c:w val="0.16902040674518573"/>
          <c:h val="0.6907175853018368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spPr>
    <a:ln w="28575"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25</xdr:col>
      <xdr:colOff>581026</xdr:colOff>
      <xdr:row>61</xdr:row>
      <xdr:rowOff>0</xdr:rowOff>
    </xdr:to>
    <xdr:pic>
      <xdr:nvPicPr>
        <xdr:cNvPr id="4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"/>
          <a:ext cx="15821026" cy="1160145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0</xdr:row>
      <xdr:rowOff>9525</xdr:rowOff>
    </xdr:from>
    <xdr:to>
      <xdr:col>1</xdr:col>
      <xdr:colOff>238125</xdr:colOff>
      <xdr:row>4</xdr:row>
      <xdr:rowOff>180975</xdr:rowOff>
    </xdr:to>
    <xdr:pic>
      <xdr:nvPicPr>
        <xdr:cNvPr id="5" name="Picture 4" descr="https://encrypted-tbn0.gstatic.com/images?q=tbn:ANd9GcSqaZ0cqEn0vSpngJxNI1C_b6gk47NCy8odE-bOmGCE_q3bVab7QA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6F4E5"/>
            </a:clrFrom>
            <a:clrTo>
              <a:srgbClr val="F6F4E5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9525"/>
          <a:ext cx="847725" cy="933450"/>
        </a:xfrm>
        <a:prstGeom prst="rect">
          <a:avLst/>
        </a:prstGeom>
        <a:noFill/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</xdr:col>
      <xdr:colOff>238125</xdr:colOff>
      <xdr:row>0</xdr:row>
      <xdr:rowOff>76200</xdr:rowOff>
    </xdr:from>
    <xdr:ext cx="5505449" cy="895351"/>
    <xdr:sp macro="" textlink="">
      <xdr:nvSpPr>
        <xdr:cNvPr id="6" name="TextBox 5"/>
        <xdr:cNvSpPr txBox="1"/>
      </xdr:nvSpPr>
      <xdr:spPr>
        <a:xfrm>
          <a:off x="847725" y="76200"/>
          <a:ext cx="5505449" cy="8953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600" b="1" i="0" u="none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Consulting</a:t>
          </a:r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Group </a:t>
          </a:r>
          <a:r>
            <a:rPr lang="en-US" sz="1600" b="1" i="0" u="none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Personal Accounting System</a:t>
          </a:r>
        </a:p>
        <a:p>
          <a:r>
            <a:rPr lang="en-US" sz="1600" b="1" i="0" u="none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PAS Main</a:t>
          </a:r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Controls - </a:t>
          </a:r>
          <a:r>
            <a:rPr lang="en-US" sz="1600" b="1" i="0" u="none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IS </a:t>
          </a:r>
          <a:r>
            <a:rPr lang="en-US" sz="1600" b="1" i="0" u="none" strike="noStrike" baseline="-2500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628</a:t>
          </a:r>
          <a:r>
            <a:rPr lang="en-US" sz="1600" b="1" i="0" u="none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- Spring</a:t>
          </a:r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600" b="1" i="0" u="none" strike="noStrike" baseline="-1200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2013</a:t>
          </a:r>
        </a:p>
        <a:p>
          <a:r>
            <a:rPr lang="en-US" sz="1400" b="1" i="1" u="none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DESIGN TEAM:  Elias Hassen, Sunny (Hwasoon) Yun, and Gina Zosa</a:t>
          </a:r>
          <a:r>
            <a:rPr lang="en-US" sz="1400" b="1" i="1">
              <a:solidFill>
                <a:schemeClr val="bg1"/>
              </a:solidFill>
            </a:rPr>
            <a:t> </a:t>
          </a:r>
        </a:p>
      </xdr:txBody>
    </xdr:sp>
    <xdr:clientData/>
  </xdr:oneCellAnchor>
  <xdr:oneCellAnchor>
    <xdr:from>
      <xdr:col>0</xdr:col>
      <xdr:colOff>0</xdr:colOff>
      <xdr:row>10</xdr:row>
      <xdr:rowOff>28574</xdr:rowOff>
    </xdr:from>
    <xdr:ext cx="7400924" cy="7677151"/>
    <xdr:sp macro="" textlink="">
      <xdr:nvSpPr>
        <xdr:cNvPr id="7" name="TextBox 6"/>
        <xdr:cNvSpPr txBox="1"/>
      </xdr:nvSpPr>
      <xdr:spPr>
        <a:xfrm>
          <a:off x="0" y="1933574"/>
          <a:ext cx="7400924" cy="76771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600" b="1" i="0" u="sng" strike="noStrike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THE PERSONAL ACCOUNTING SYSTEM PERFORMS THE FOLLOWING FUNCTIONS</a:t>
          </a:r>
        </a:p>
        <a:p>
          <a:endParaRPr lang="en-US" sz="1200" b="1" i="0" u="sng" strike="noStrike" baseline="0">
            <a:ln w="3175">
              <a:solidFill>
                <a:schemeClr val="bg1"/>
              </a:solidFill>
            </a:ln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1.    Main Control Page: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a.	Go to PAS Input;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b.  	Go to PAS Output;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c.	Print PAS Input;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d.	Print PAS Output;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e.	Go to PAS Chart;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f.	Exit.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2.    PAS Input Page: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a.	Expenditure Input;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b.	New Account/New Bank Issuer Input;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c.	New Category Input;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d.	Category Drop-Down Menu;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e.	Account Drop-Down Menu.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3.    PAS Output Page: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a.	Sort by Reference;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b.	Sort by Dollar;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c.	Sort by Description;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d.	Sort by Date;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e.	Sort by Payee;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f.	Sort by Category;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g.	Sort by Account;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h.	Sort by Bank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i.	Category Drop-Down Menu;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j.	Account Drop-Down Menu.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k.	Print PAS Output.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4.    PAS Chart Page: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a.	Self-Updating PAS Pie Chart;</a:t>
          </a:r>
        </a:p>
        <a:p>
          <a:r>
            <a:rPr lang="en-US" sz="1600" b="1" i="0" u="none" strike="noStrike" baseline="0">
              <a:ln w="317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b.	Print  PAS Chart.</a:t>
          </a:r>
        </a:p>
        <a:p>
          <a:endParaRPr lang="en-US" sz="1400" b="1" i="1">
            <a:ln w="3175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</xdr:row>
          <xdr:rowOff>47625</xdr:rowOff>
        </xdr:from>
        <xdr:to>
          <xdr:col>1</xdr:col>
          <xdr:colOff>561975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GO TO PAS Input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7</xdr:row>
          <xdr:rowOff>47625</xdr:rowOff>
        </xdr:from>
        <xdr:to>
          <xdr:col>4</xdr:col>
          <xdr:colOff>19050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GO TO PAS Output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7</xdr:row>
          <xdr:rowOff>47625</xdr:rowOff>
        </xdr:from>
        <xdr:to>
          <xdr:col>6</xdr:col>
          <xdr:colOff>85725</xdr:colOff>
          <xdr:row>9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PRINT PAS Input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7</xdr:row>
          <xdr:rowOff>47625</xdr:rowOff>
        </xdr:from>
        <xdr:to>
          <xdr:col>8</xdr:col>
          <xdr:colOff>152400</xdr:colOff>
          <xdr:row>9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PRINT PAS Output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7</xdr:row>
          <xdr:rowOff>38100</xdr:rowOff>
        </xdr:from>
        <xdr:to>
          <xdr:col>10</xdr:col>
          <xdr:colOff>219075</xdr:colOff>
          <xdr:row>9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GO TO PAS Chart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7</xdr:row>
          <xdr:rowOff>38100</xdr:rowOff>
        </xdr:from>
        <xdr:to>
          <xdr:col>12</xdr:col>
          <xdr:colOff>295275</xdr:colOff>
          <xdr:row>9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EXIT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142876</xdr:colOff>
      <xdr:row>0</xdr:row>
      <xdr:rowOff>123825</xdr:rowOff>
    </xdr:from>
    <xdr:to>
      <xdr:col>11</xdr:col>
      <xdr:colOff>95251</xdr:colOff>
      <xdr:row>4</xdr:row>
      <xdr:rowOff>85725</xdr:rowOff>
    </xdr:to>
    <xdr:pic>
      <xdr:nvPicPr>
        <xdr:cNvPr id="1090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220326" y="123825"/>
          <a:ext cx="1981200" cy="72390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847725</xdr:colOff>
      <xdr:row>4</xdr:row>
      <xdr:rowOff>171450</xdr:rowOff>
    </xdr:to>
    <xdr:pic>
      <xdr:nvPicPr>
        <xdr:cNvPr id="4" name="Picture 3" descr="https://encrypted-tbn0.gstatic.com/images?q=tbn:ANd9GcSqaZ0cqEn0vSpngJxNI1C_b6gk47NCy8odE-bOmGCE_q3bVab7QA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6F4E5"/>
            </a:clrFrom>
            <a:clrTo>
              <a:srgbClr val="F6F4E5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0"/>
          <a:ext cx="847725" cy="933450"/>
        </a:xfrm>
        <a:prstGeom prst="rect">
          <a:avLst/>
        </a:prstGeom>
        <a:noFill/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0</xdr:col>
      <xdr:colOff>809625</xdr:colOff>
      <xdr:row>0</xdr:row>
      <xdr:rowOff>66675</xdr:rowOff>
    </xdr:from>
    <xdr:ext cx="5505449" cy="752475"/>
    <xdr:sp macro="" textlink="">
      <xdr:nvSpPr>
        <xdr:cNvPr id="5" name="TextBox 4"/>
        <xdr:cNvSpPr txBox="1"/>
      </xdr:nvSpPr>
      <xdr:spPr>
        <a:xfrm>
          <a:off x="809625" y="66675"/>
          <a:ext cx="5505449" cy="752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600" b="1" i="0" u="none" strike="noStrike">
              <a:ln w="3175"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Personal Accounting System  (PAS)</a:t>
          </a:r>
        </a:p>
        <a:p>
          <a:r>
            <a:rPr lang="en-US" sz="1400" b="1" i="1" u="none" strike="noStrike">
              <a:ln w="3175">
                <a:noFill/>
              </a:ln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DESIGN TEAM:  Elias Hassen, Sunny (Hwasoon) Yun, and Gina Zosa</a:t>
          </a:r>
          <a:r>
            <a:rPr lang="en-US" sz="1400" b="1" i="1">
              <a:ln>
                <a:noFill/>
              </a:ln>
              <a:solidFill>
                <a:srgbClr val="C00000"/>
              </a:solidFill>
            </a:rPr>
            <a:t>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</xdr:row>
          <xdr:rowOff>85725</xdr:rowOff>
        </xdr:from>
        <xdr:to>
          <xdr:col>10</xdr:col>
          <xdr:colOff>247650</xdr:colOff>
          <xdr:row>3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Insert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11</xdr:row>
          <xdr:rowOff>9525</xdr:rowOff>
        </xdr:from>
        <xdr:to>
          <xdr:col>3</xdr:col>
          <xdr:colOff>219075</xdr:colOff>
          <xdr:row>13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Enter New Account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9525</xdr:rowOff>
        </xdr:from>
        <xdr:to>
          <xdr:col>7</xdr:col>
          <xdr:colOff>504825</xdr:colOff>
          <xdr:row>12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Enter New Category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1333500</xdr:colOff>
      <xdr:row>0</xdr:row>
      <xdr:rowOff>114300</xdr:rowOff>
    </xdr:from>
    <xdr:to>
      <xdr:col>10</xdr:col>
      <xdr:colOff>442751</xdr:colOff>
      <xdr:row>4</xdr:row>
      <xdr:rowOff>133350</xdr:rowOff>
    </xdr:to>
    <xdr:pic>
      <xdr:nvPicPr>
        <xdr:cNvPr id="13" name="Picture 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10201275" y="114300"/>
          <a:ext cx="2042951" cy="781050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847725</xdr:colOff>
      <xdr:row>4</xdr:row>
      <xdr:rowOff>171450</xdr:rowOff>
    </xdr:to>
    <xdr:pic>
      <xdr:nvPicPr>
        <xdr:cNvPr id="2" name="Picture 1" descr="https://encrypted-tbn0.gstatic.com/images?q=tbn:ANd9GcSqaZ0cqEn0vSpngJxNI1C_b6gk47NCy8odE-bOmGCE_q3bVab7QA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6F4E5"/>
            </a:clrFrom>
            <a:clrTo>
              <a:srgbClr val="F6F4E5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0"/>
          <a:ext cx="847725" cy="933450"/>
        </a:xfrm>
        <a:prstGeom prst="rect">
          <a:avLst/>
        </a:prstGeom>
        <a:noFill/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0</xdr:col>
      <xdr:colOff>809625</xdr:colOff>
      <xdr:row>0</xdr:row>
      <xdr:rowOff>66675</xdr:rowOff>
    </xdr:from>
    <xdr:ext cx="5505449" cy="752475"/>
    <xdr:sp macro="" textlink="">
      <xdr:nvSpPr>
        <xdr:cNvPr id="3" name="TextBox 2"/>
        <xdr:cNvSpPr txBox="1"/>
      </xdr:nvSpPr>
      <xdr:spPr>
        <a:xfrm>
          <a:off x="809625" y="66675"/>
          <a:ext cx="5505449" cy="752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600" b="1" i="0" u="none" strike="noStrike">
              <a:ln w="3175"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Personal Accounting System  (PAS)</a:t>
          </a:r>
        </a:p>
        <a:p>
          <a:r>
            <a:rPr lang="en-US" sz="1400" b="1" i="1" u="none" strike="noStrike">
              <a:ln w="3175">
                <a:noFill/>
              </a:ln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DESIGN TEAM:  Elias Hassen, Sunny (Hwasoon) Yun, and Gina Zosa</a:t>
          </a:r>
          <a:r>
            <a:rPr lang="en-US" sz="1400" b="1" i="1">
              <a:ln>
                <a:noFill/>
              </a:ln>
              <a:solidFill>
                <a:srgbClr val="C00000"/>
              </a:solidFill>
            </a:rPr>
            <a:t>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828675</xdr:colOff>
          <xdr:row>7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$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6</xdr:row>
          <xdr:rowOff>9525</xdr:rowOff>
        </xdr:from>
        <xdr:to>
          <xdr:col>2</xdr:col>
          <xdr:colOff>1143000</xdr:colOff>
          <xdr:row>7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Description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9525</xdr:rowOff>
        </xdr:from>
        <xdr:to>
          <xdr:col>3</xdr:col>
          <xdr:colOff>828675</xdr:colOff>
          <xdr:row>7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Date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6</xdr:row>
          <xdr:rowOff>9525</xdr:rowOff>
        </xdr:from>
        <xdr:to>
          <xdr:col>4</xdr:col>
          <xdr:colOff>1438275</xdr:colOff>
          <xdr:row>7</xdr:row>
          <xdr:rowOff>47625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Payee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</xdr:row>
          <xdr:rowOff>9525</xdr:rowOff>
        </xdr:from>
        <xdr:to>
          <xdr:col>5</xdr:col>
          <xdr:colOff>1047750</xdr:colOff>
          <xdr:row>7</xdr:row>
          <xdr:rowOff>47625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Category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6</xdr:row>
          <xdr:rowOff>9525</xdr:rowOff>
        </xdr:from>
        <xdr:to>
          <xdr:col>6</xdr:col>
          <xdr:colOff>942975</xdr:colOff>
          <xdr:row>7</xdr:row>
          <xdr:rowOff>47625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Account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6</xdr:row>
          <xdr:rowOff>9525</xdr:rowOff>
        </xdr:from>
        <xdr:to>
          <xdr:col>7</xdr:col>
          <xdr:colOff>1295400</xdr:colOff>
          <xdr:row>7</xdr:row>
          <xdr:rowOff>47625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Bank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6</xdr:row>
          <xdr:rowOff>9525</xdr:rowOff>
        </xdr:from>
        <xdr:to>
          <xdr:col>0</xdr:col>
          <xdr:colOff>1247775</xdr:colOff>
          <xdr:row>7</xdr:row>
          <xdr:rowOff>47625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SORT Reference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1</xdr:row>
          <xdr:rowOff>104775</xdr:rowOff>
        </xdr:from>
        <xdr:to>
          <xdr:col>10</xdr:col>
          <xdr:colOff>19050</xdr:colOff>
          <xdr:row>3</xdr:row>
          <xdr:rowOff>85725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PRINT PAS 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438146</xdr:colOff>
      <xdr:row>0</xdr:row>
      <xdr:rowOff>116802</xdr:rowOff>
    </xdr:from>
    <xdr:to>
      <xdr:col>20</xdr:col>
      <xdr:colOff>47625</xdr:colOff>
      <xdr:row>4</xdr:row>
      <xdr:rowOff>123825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00" r="6451"/>
        <a:stretch/>
      </xdr:blipFill>
      <xdr:spPr>
        <a:xfrm>
          <a:off x="10191746" y="116802"/>
          <a:ext cx="2047879" cy="769023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0</xdr:col>
      <xdr:colOff>9525</xdr:colOff>
      <xdr:row>7</xdr:row>
      <xdr:rowOff>9525</xdr:rowOff>
    </xdr:from>
    <xdr:to>
      <xdr:col>13</xdr:col>
      <xdr:colOff>0</xdr:colOff>
      <xdr:row>37</xdr:row>
      <xdr:rowOff>9525</xdr:rowOff>
    </xdr:to>
    <xdr:graphicFrame macro="">
      <xdr:nvGraphicFramePr>
        <xdr:cNvPr id="52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200025</xdr:colOff>
      <xdr:row>0</xdr:row>
      <xdr:rowOff>76200</xdr:rowOff>
    </xdr:from>
    <xdr:ext cx="5505449" cy="752475"/>
    <xdr:sp macro="" textlink="">
      <xdr:nvSpPr>
        <xdr:cNvPr id="4" name="TextBox 3"/>
        <xdr:cNvSpPr txBox="1"/>
      </xdr:nvSpPr>
      <xdr:spPr>
        <a:xfrm>
          <a:off x="809625" y="76200"/>
          <a:ext cx="5505449" cy="752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600" b="1" i="0" u="none" strike="noStrike">
              <a:ln w="3175"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Personal Accounting System  (PAS)</a:t>
          </a:r>
        </a:p>
        <a:p>
          <a:r>
            <a:rPr lang="en-US" sz="1400" b="1" i="1" u="none" strike="noStrike">
              <a:ln w="3175">
                <a:noFill/>
              </a:ln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DESIGN TEAM:  Elias Hassen, Sunny (Hwasoon) Yun, and Gina Zosa</a:t>
          </a:r>
          <a:r>
            <a:rPr lang="en-US" sz="1400" b="1" i="1">
              <a:ln>
                <a:noFill/>
              </a:ln>
              <a:solidFill>
                <a:srgbClr val="C00000"/>
              </a:solidFill>
            </a:rPr>
            <a:t> </a:t>
          </a: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238125</xdr:colOff>
      <xdr:row>4</xdr:row>
      <xdr:rowOff>171450</xdr:rowOff>
    </xdr:to>
    <xdr:pic>
      <xdr:nvPicPr>
        <xdr:cNvPr id="5" name="Picture 4" descr="https://encrypted-tbn0.gstatic.com/images?q=tbn:ANd9GcSqaZ0cqEn0vSpngJxNI1C_b6gk47NCy8odE-bOmGCE_q3bVab7QA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6F4E5"/>
            </a:clrFrom>
            <a:clrTo>
              <a:srgbClr val="F6F4E5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0" y="0"/>
          <a:ext cx="847725" cy="933450"/>
        </a:xfrm>
        <a:prstGeom prst="rect">
          <a:avLst/>
        </a:prstGeom>
        <a:noFill/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323850</xdr:colOff>
          <xdr:row>1</xdr:row>
          <xdr:rowOff>104775</xdr:rowOff>
        </xdr:from>
        <xdr:to>
          <xdr:col>19</xdr:col>
          <xdr:colOff>200025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</a:rPr>
                <a:t>PRINT PAS Chart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5"/>
  <sheetViews>
    <sheetView tabSelected="1" workbookViewId="0"/>
  </sheetViews>
  <sheetFormatPr defaultRowHeight="15" x14ac:dyDescent="0.25"/>
  <sheetData>
    <row r="1" spans="1:22" ht="15" customHeight="1" x14ac:dyDescent="0.25">
      <c r="A1" s="2"/>
      <c r="B1" s="6"/>
      <c r="C1" s="6"/>
    </row>
    <row r="2" spans="1:22" x14ac:dyDescent="0.25">
      <c r="A2" s="3"/>
      <c r="B2" s="5"/>
    </row>
    <row r="3" spans="1:22" ht="15" customHeight="1" x14ac:dyDescent="0.25">
      <c r="A3" s="4"/>
      <c r="B3" s="5"/>
    </row>
    <row r="4" spans="1:22" x14ac:dyDescent="0.25">
      <c r="A4" s="4"/>
      <c r="B4" s="5"/>
    </row>
    <row r="5" spans="1:22" x14ac:dyDescent="0.25">
      <c r="A5" s="4"/>
      <c r="B5" s="5"/>
    </row>
    <row r="6" spans="1:22" s="8" customFormat="1" x14ac:dyDescent="0.25">
      <c r="A6" s="9"/>
      <c r="B6" s="10"/>
    </row>
    <row r="7" spans="1:22" s="8" customFormat="1" x14ac:dyDescent="0.25">
      <c r="A7" s="9"/>
      <c r="B7" s="10"/>
    </row>
    <row r="8" spans="1:22" s="8" customFormat="1" x14ac:dyDescent="0.25">
      <c r="A8" s="9"/>
      <c r="B8" s="10"/>
    </row>
    <row r="9" spans="1:22" x14ac:dyDescent="0.25">
      <c r="A9" s="7"/>
      <c r="D9" s="7"/>
      <c r="G9" s="7"/>
      <c r="J9" s="7"/>
      <c r="M9" s="7"/>
    </row>
    <row r="15" spans="1:22" x14ac:dyDescent="0.25">
      <c r="V15" s="11"/>
    </row>
  </sheetData>
  <pageMargins left="0.7" right="0.7" top="0.75" bottom="0.75" header="0.3" footer="0.3"/>
  <pageSetup scale="65"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SInput">
                <anchor moveWithCells="1" sizeWithCells="1">
                  <from>
                    <xdr:col>0</xdr:col>
                    <xdr:colOff>28575</xdr:colOff>
                    <xdr:row>7</xdr:row>
                    <xdr:rowOff>47625</xdr:rowOff>
                  </from>
                  <to>
                    <xdr:col>1</xdr:col>
                    <xdr:colOff>561975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ASOutput">
                <anchor moveWithCells="1" sizeWithCells="1">
                  <from>
                    <xdr:col>2</xdr:col>
                    <xdr:colOff>95250</xdr:colOff>
                    <xdr:row>7</xdr:row>
                    <xdr:rowOff>47625</xdr:rowOff>
                  </from>
                  <to>
                    <xdr:col>4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rintPASInput">
                <anchor moveWithCells="1" sizeWithCells="1">
                  <from>
                    <xdr:col>4</xdr:col>
                    <xdr:colOff>161925</xdr:colOff>
                    <xdr:row>7</xdr:row>
                    <xdr:rowOff>47625</xdr:rowOff>
                  </from>
                  <to>
                    <xdr:col>6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rintPASOutput">
                <anchor moveWithCells="1" sizeWithCells="1">
                  <from>
                    <xdr:col>6</xdr:col>
                    <xdr:colOff>228600</xdr:colOff>
                    <xdr:row>7</xdr:row>
                    <xdr:rowOff>47625</xdr:rowOff>
                  </from>
                  <to>
                    <xdr:col>8</xdr:col>
                    <xdr:colOff>152400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ASChart">
                <anchor moveWithCells="1" sizeWithCells="1">
                  <from>
                    <xdr:col>8</xdr:col>
                    <xdr:colOff>295275</xdr:colOff>
                    <xdr:row>7</xdr:row>
                    <xdr:rowOff>38100</xdr:rowOff>
                  </from>
                  <to>
                    <xdr:col>10</xdr:col>
                    <xdr:colOff>219075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_xludf.quit">
                <anchor moveWithCells="1" sizeWithCells="1">
                  <from>
                    <xdr:col>10</xdr:col>
                    <xdr:colOff>371475</xdr:colOff>
                    <xdr:row>7</xdr:row>
                    <xdr:rowOff>38100</xdr:rowOff>
                  </from>
                  <to>
                    <xdr:col>12</xdr:col>
                    <xdr:colOff>295275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78"/>
  <sheetViews>
    <sheetView zoomScaleNormal="100" workbookViewId="0">
      <selection activeCell="A9" sqref="A9"/>
    </sheetView>
  </sheetViews>
  <sheetFormatPr defaultRowHeight="15" x14ac:dyDescent="0.25"/>
  <cols>
    <col min="1" max="1" width="17.7109375" customWidth="1"/>
    <col min="2" max="2" width="23.42578125" customWidth="1"/>
    <col min="3" max="3" width="14.42578125" bestFit="1" customWidth="1"/>
    <col min="4" max="4" width="10.7109375" bestFit="1" customWidth="1"/>
    <col min="5" max="5" width="35.7109375" customWidth="1"/>
    <col min="6" max="6" width="14" bestFit="1" customWidth="1"/>
    <col min="7" max="7" width="11.42578125" bestFit="1" customWidth="1"/>
    <col min="8" max="8" width="23.7109375" customWidth="1"/>
    <col min="9" max="9" width="9.85546875" bestFit="1" customWidth="1"/>
    <col min="10" max="10" width="12.140625" bestFit="1" customWidth="1"/>
    <col min="11" max="11" width="8.42578125" bestFit="1" customWidth="1"/>
    <col min="12" max="12" width="9" bestFit="1" customWidth="1"/>
  </cols>
  <sheetData>
    <row r="1" spans="1:29" ht="15" customHeight="1" x14ac:dyDescent="0.25">
      <c r="A1" s="15"/>
      <c r="B1" s="21"/>
      <c r="C1" s="15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9" ht="15" customHeight="1" x14ac:dyDescent="0.25">
      <c r="A2" s="17"/>
      <c r="B2" s="22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9" x14ac:dyDescent="0.25">
      <c r="A3" s="17"/>
      <c r="B3" s="17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9" x14ac:dyDescent="0.25">
      <c r="A4" s="17"/>
      <c r="B4" s="17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9" x14ac:dyDescent="0.25">
      <c r="A5" s="17"/>
      <c r="B5" s="17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9" x14ac:dyDescent="0.25">
      <c r="A6" s="17"/>
      <c r="B6" s="17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9" ht="15.75" thickBot="1" x14ac:dyDescent="0.3">
      <c r="A7" s="16"/>
      <c r="B7" s="25" t="s">
        <v>32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9" s="1" customFormat="1" ht="15.75" thickBot="1" x14ac:dyDescent="0.3">
      <c r="A8" s="23" t="s">
        <v>8</v>
      </c>
      <c r="B8" s="23" t="s">
        <v>9</v>
      </c>
      <c r="C8" s="23" t="s">
        <v>10</v>
      </c>
      <c r="D8" s="23" t="s">
        <v>11</v>
      </c>
      <c r="E8" s="23" t="s">
        <v>12</v>
      </c>
      <c r="F8" s="23" t="s">
        <v>13</v>
      </c>
      <c r="G8" s="23" t="s">
        <v>0</v>
      </c>
      <c r="H8" s="24" t="s">
        <v>1</v>
      </c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9" ht="15.75" thickBot="1" x14ac:dyDescent="0.3">
      <c r="A9" s="26"/>
      <c r="B9" s="27"/>
      <c r="C9" s="26"/>
      <c r="D9" s="28"/>
      <c r="E9" s="26"/>
      <c r="F9" s="26"/>
      <c r="G9" s="26"/>
      <c r="H9" s="26" t="str">
        <f>IF(ISERROR(VLOOKUP(G9,AccountsTable,2,FALSE)),"", VLOOKUP(G9,AccountsTable,2,FALSE))</f>
        <v/>
      </c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9" s="8" customFormat="1" ht="15.75" thickBot="1" x14ac:dyDescent="0.3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/>
    </row>
    <row r="12" spans="1:29" s="8" customFormat="1" ht="15.75" thickBot="1" x14ac:dyDescent="0.3">
      <c r="A12" s="29" t="s">
        <v>22</v>
      </c>
      <c r="B12" s="30" t="s">
        <v>23</v>
      </c>
      <c r="C12" s="20"/>
      <c r="D12" s="20"/>
      <c r="E12" s="31" t="s">
        <v>24</v>
      </c>
      <c r="F12" s="12"/>
      <c r="G12" s="20"/>
      <c r="H12" s="20"/>
      <c r="I12" s="20"/>
      <c r="J12" s="20"/>
      <c r="K12" s="20"/>
      <c r="L12" s="20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/>
    </row>
    <row r="13" spans="1:29" ht="15.75" thickBot="1" x14ac:dyDescent="0.3">
      <c r="A13" s="13"/>
      <c r="B13" s="14"/>
      <c r="C13" s="16"/>
      <c r="D13" s="16"/>
      <c r="E13" s="20"/>
      <c r="F13" s="20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B13" s="8"/>
      <c r="AC13" s="8"/>
    </row>
    <row r="14" spans="1:29" ht="15.75" thickBot="1" x14ac:dyDescent="0.3">
      <c r="A14" s="20"/>
      <c r="B14" s="20"/>
      <c r="C14" s="16"/>
      <c r="D14" s="16"/>
      <c r="E14" s="20"/>
      <c r="F14" s="20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9" ht="15.75" thickBot="1" x14ac:dyDescent="0.3">
      <c r="A15" s="32" t="s">
        <v>0</v>
      </c>
      <c r="B15" s="32" t="s">
        <v>1</v>
      </c>
      <c r="C15" s="80" t="s">
        <v>12</v>
      </c>
      <c r="D15" s="81"/>
      <c r="E15" s="33" t="s">
        <v>6</v>
      </c>
      <c r="F15" s="20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9" x14ac:dyDescent="0.25">
      <c r="A16" s="41" t="s">
        <v>39</v>
      </c>
      <c r="B16" s="41" t="s">
        <v>28</v>
      </c>
      <c r="C16" s="72" t="s">
        <v>34</v>
      </c>
      <c r="D16" s="72"/>
      <c r="E16" s="41" t="s">
        <v>47</v>
      </c>
      <c r="F16" s="20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41" t="s">
        <v>40</v>
      </c>
      <c r="B17" s="41" t="s">
        <v>41</v>
      </c>
      <c r="C17" s="71" t="s">
        <v>57</v>
      </c>
      <c r="D17" s="71"/>
      <c r="E17" s="44" t="s">
        <v>17</v>
      </c>
      <c r="F17" s="20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42" t="s">
        <v>42</v>
      </c>
      <c r="B18" s="41" t="s">
        <v>3</v>
      </c>
      <c r="C18" s="71" t="s">
        <v>33</v>
      </c>
      <c r="D18" s="71"/>
      <c r="E18" s="41" t="s">
        <v>48</v>
      </c>
      <c r="F18" s="20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43" t="s">
        <v>43</v>
      </c>
      <c r="B19" s="44" t="s">
        <v>26</v>
      </c>
      <c r="C19" s="71" t="s">
        <v>60</v>
      </c>
      <c r="D19" s="71"/>
      <c r="E19" s="41" t="s">
        <v>25</v>
      </c>
      <c r="F19" s="20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41" t="s">
        <v>44</v>
      </c>
      <c r="B20" s="41" t="s">
        <v>2</v>
      </c>
      <c r="C20" s="71" t="s">
        <v>63</v>
      </c>
      <c r="D20" s="71"/>
      <c r="E20" s="41" t="s">
        <v>7</v>
      </c>
      <c r="F20" s="20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41" t="s">
        <v>45</v>
      </c>
      <c r="B21" s="41" t="s">
        <v>2</v>
      </c>
      <c r="C21" s="71" t="s">
        <v>31</v>
      </c>
      <c r="D21" s="71"/>
      <c r="E21" s="41" t="s">
        <v>15</v>
      </c>
      <c r="F21" s="20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41" t="s">
        <v>4</v>
      </c>
      <c r="B22" s="41" t="s">
        <v>46</v>
      </c>
      <c r="C22" s="71" t="s">
        <v>21</v>
      </c>
      <c r="D22" s="71"/>
      <c r="E22" s="41" t="s">
        <v>49</v>
      </c>
      <c r="F22" s="20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41" t="s">
        <v>5</v>
      </c>
      <c r="B23" s="41" t="s">
        <v>27</v>
      </c>
      <c r="C23" s="71" t="s">
        <v>18</v>
      </c>
      <c r="D23" s="71"/>
      <c r="E23" s="41"/>
      <c r="F23" s="20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41"/>
      <c r="B24" s="41"/>
      <c r="C24" s="71" t="s">
        <v>20</v>
      </c>
      <c r="D24" s="71"/>
      <c r="E24" s="41"/>
      <c r="F24" s="20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41"/>
      <c r="B25" s="41"/>
      <c r="C25" s="71" t="s">
        <v>38</v>
      </c>
      <c r="D25" s="71"/>
      <c r="E25" s="44"/>
      <c r="F25" s="20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41"/>
      <c r="B26" s="41"/>
      <c r="C26" s="71"/>
      <c r="D26" s="71"/>
      <c r="E26" s="41"/>
      <c r="F26" s="20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44"/>
      <c r="B27" s="44"/>
      <c r="C27" s="71"/>
      <c r="D27" s="71"/>
      <c r="E27" s="41"/>
      <c r="F27" s="20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41"/>
      <c r="B28" s="41"/>
      <c r="C28" s="71"/>
      <c r="D28" s="71"/>
      <c r="E28" s="44"/>
      <c r="F28" s="20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41"/>
      <c r="B29" s="41"/>
      <c r="C29" s="71"/>
      <c r="D29" s="71"/>
      <c r="E29" s="41"/>
      <c r="F29" s="20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41"/>
      <c r="B30" s="41"/>
      <c r="C30" s="71"/>
      <c r="D30" s="71"/>
      <c r="E30" s="44"/>
      <c r="F30" s="20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44"/>
      <c r="B31" s="44"/>
      <c r="C31" s="71"/>
      <c r="D31" s="71"/>
      <c r="E31" s="44"/>
      <c r="F31" s="20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44"/>
      <c r="B32" s="44"/>
      <c r="C32" s="71"/>
      <c r="D32" s="71"/>
      <c r="E32" s="44"/>
      <c r="F32" s="20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5">
      <c r="A33" s="44"/>
      <c r="B33" s="44"/>
      <c r="C33" s="71"/>
      <c r="D33" s="71"/>
      <c r="E33" s="44"/>
      <c r="F33" s="20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5">
      <c r="A34" s="44"/>
      <c r="B34" s="44"/>
      <c r="C34" s="71"/>
      <c r="D34" s="71"/>
      <c r="E34" s="44"/>
      <c r="F34" s="20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5">
      <c r="A35" s="44"/>
      <c r="B35" s="44"/>
      <c r="C35" s="71"/>
      <c r="D35" s="71"/>
      <c r="E35" s="44"/>
      <c r="F35" s="20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5">
      <c r="A36" s="44"/>
      <c r="B36" s="44"/>
      <c r="C36" s="71"/>
      <c r="D36" s="71"/>
      <c r="E36" s="44"/>
      <c r="F36" s="20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5">
      <c r="A37" s="44"/>
      <c r="B37" s="44"/>
      <c r="C37" s="71"/>
      <c r="D37" s="71"/>
      <c r="E37" s="44"/>
      <c r="F37" s="20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5">
      <c r="A38" s="44"/>
      <c r="B38" s="44"/>
      <c r="C38" s="71"/>
      <c r="D38" s="71"/>
      <c r="E38" s="44"/>
      <c r="F38" s="20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5">
      <c r="A39" s="44"/>
      <c r="B39" s="44"/>
      <c r="C39" s="71"/>
      <c r="D39" s="71"/>
      <c r="E39" s="44"/>
      <c r="F39" s="20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5">
      <c r="A40" s="44"/>
      <c r="B40" s="44"/>
      <c r="C40" s="71"/>
      <c r="D40" s="71"/>
      <c r="E40" s="44"/>
      <c r="F40" s="20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5">
      <c r="A41" s="44"/>
      <c r="B41" s="44"/>
      <c r="C41" s="71"/>
      <c r="D41" s="71"/>
      <c r="E41" s="44"/>
      <c r="F41" s="20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5">
      <c r="A42" s="44"/>
      <c r="B42" s="44"/>
      <c r="C42" s="71"/>
      <c r="D42" s="71"/>
      <c r="E42" s="44"/>
      <c r="F42" s="20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5">
      <c r="A43" s="44"/>
      <c r="B43" s="44"/>
      <c r="C43" s="71"/>
      <c r="D43" s="71"/>
      <c r="E43" s="44"/>
      <c r="F43" s="20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5">
      <c r="A44" s="44"/>
      <c r="B44" s="44"/>
      <c r="C44" s="71"/>
      <c r="D44" s="71"/>
      <c r="E44" s="44"/>
      <c r="F44" s="20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5">
      <c r="A45" s="44"/>
      <c r="B45" s="44"/>
      <c r="C45" s="71"/>
      <c r="D45" s="71"/>
      <c r="E45" s="44"/>
      <c r="F45" s="20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5">
      <c r="A46" s="44"/>
      <c r="B46" s="44"/>
      <c r="C46" s="71"/>
      <c r="D46" s="71"/>
      <c r="E46" s="44"/>
      <c r="F46" s="20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5">
      <c r="A47" s="44"/>
      <c r="B47" s="44"/>
      <c r="C47" s="71"/>
      <c r="D47" s="71"/>
      <c r="E47" s="44"/>
      <c r="F47" s="20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5">
      <c r="A48" s="44"/>
      <c r="B48" s="44"/>
      <c r="C48" s="71"/>
      <c r="D48" s="71"/>
      <c r="E48" s="44"/>
      <c r="F48" s="20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30" x14ac:dyDescent="0.25">
      <c r="A49" s="44"/>
      <c r="B49" s="44"/>
      <c r="C49" s="71"/>
      <c r="D49" s="71"/>
      <c r="E49" s="44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30" x14ac:dyDescent="0.25">
      <c r="A50" s="44"/>
      <c r="B50" s="44"/>
      <c r="C50" s="79"/>
      <c r="D50" s="79"/>
      <c r="E50" s="44"/>
      <c r="F50" s="20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30" x14ac:dyDescent="0.25">
      <c r="A51" s="44"/>
      <c r="B51" s="44"/>
      <c r="C51" s="44"/>
      <c r="D51" s="44"/>
      <c r="E51" s="44"/>
      <c r="F51" s="2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30" x14ac:dyDescent="0.25">
      <c r="A52" s="44"/>
      <c r="B52" s="44"/>
      <c r="C52" s="44"/>
      <c r="D52" s="44"/>
      <c r="E52" s="44"/>
      <c r="F52" s="20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30" x14ac:dyDescent="0.25">
      <c r="A53" s="44"/>
      <c r="B53" s="44"/>
      <c r="C53" s="44"/>
      <c r="D53" s="44"/>
      <c r="E53" s="44"/>
      <c r="F53" s="20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30" x14ac:dyDescent="0.25">
      <c r="A54" s="44"/>
      <c r="B54" s="44"/>
      <c r="C54" s="44"/>
      <c r="D54" s="44"/>
      <c r="E54" s="44"/>
      <c r="F54" s="20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30" x14ac:dyDescent="0.25">
      <c r="A55" s="44"/>
      <c r="B55" s="44"/>
      <c r="C55" s="44"/>
      <c r="D55" s="44"/>
      <c r="E55" s="44"/>
      <c r="F55" s="20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30" x14ac:dyDescent="0.25">
      <c r="A56" s="44"/>
      <c r="B56" s="44"/>
      <c r="C56" s="44"/>
      <c r="D56" s="44"/>
      <c r="E56" s="44"/>
      <c r="F56" s="20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30" x14ac:dyDescent="0.25">
      <c r="A57" s="44"/>
      <c r="B57" s="44"/>
      <c r="C57" s="44"/>
      <c r="D57" s="44"/>
      <c r="E57" s="44"/>
      <c r="F57" s="20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30" x14ac:dyDescent="0.25">
      <c r="A58" s="44"/>
      <c r="B58" s="44"/>
      <c r="C58" s="44"/>
      <c r="D58" s="44"/>
      <c r="E58" s="44"/>
      <c r="F58" s="20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30" x14ac:dyDescent="0.25">
      <c r="A59" s="44"/>
      <c r="B59" s="44"/>
      <c r="C59" s="44"/>
      <c r="D59" s="44"/>
      <c r="E59" s="44"/>
      <c r="F59" s="20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30" x14ac:dyDescent="0.25">
      <c r="A60" s="44"/>
      <c r="B60" s="44"/>
      <c r="C60" s="44"/>
      <c r="D60" s="44"/>
      <c r="E60" s="44"/>
      <c r="F60" s="20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30" x14ac:dyDescent="0.25">
      <c r="A61" s="44"/>
      <c r="B61" s="44"/>
      <c r="C61" s="44"/>
      <c r="D61" s="44"/>
      <c r="E61" s="44"/>
      <c r="F61" s="20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30" x14ac:dyDescent="0.25">
      <c r="A62" s="77"/>
      <c r="B62" s="77"/>
      <c r="C62" s="77"/>
      <c r="D62" s="77"/>
      <c r="E62" s="77"/>
      <c r="F62" s="75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</row>
    <row r="63" spans="1:30" x14ac:dyDescent="0.25">
      <c r="A63" s="74"/>
      <c r="B63" s="74"/>
      <c r="C63" s="74"/>
      <c r="D63" s="74"/>
      <c r="E63" s="74"/>
      <c r="F63" s="75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</row>
    <row r="64" spans="1:30" x14ac:dyDescent="0.25">
      <c r="A64" s="74"/>
      <c r="B64" s="74"/>
      <c r="C64" s="74"/>
      <c r="D64" s="74"/>
      <c r="E64" s="74"/>
      <c r="F64" s="75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</row>
    <row r="65" spans="1:30" x14ac:dyDescent="0.25">
      <c r="A65" s="74"/>
      <c r="B65" s="74"/>
      <c r="C65" s="74"/>
      <c r="D65" s="74"/>
      <c r="E65" s="74"/>
      <c r="F65" s="75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</row>
    <row r="66" spans="1:30" x14ac:dyDescent="0.25">
      <c r="A66" s="74"/>
      <c r="B66" s="74"/>
      <c r="C66" s="74"/>
      <c r="D66" s="74"/>
      <c r="E66" s="74"/>
      <c r="F66" s="75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</row>
    <row r="67" spans="1:30" x14ac:dyDescent="0.25">
      <c r="A67" s="74"/>
      <c r="B67" s="74"/>
      <c r="C67" s="74"/>
      <c r="D67" s="74"/>
      <c r="E67" s="74"/>
      <c r="F67" s="75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</row>
    <row r="68" spans="1:30" x14ac:dyDescent="0.25">
      <c r="A68" s="74"/>
      <c r="B68" s="74"/>
      <c r="C68" s="74"/>
      <c r="D68" s="74"/>
      <c r="E68" s="74"/>
      <c r="F68" s="75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</row>
    <row r="69" spans="1:30" x14ac:dyDescent="0.25">
      <c r="A69" s="74"/>
      <c r="B69" s="74"/>
      <c r="C69" s="74"/>
      <c r="D69" s="74"/>
      <c r="E69" s="74"/>
      <c r="F69" s="75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</row>
    <row r="70" spans="1:30" x14ac:dyDescent="0.25">
      <c r="A70" s="74"/>
      <c r="B70" s="74"/>
      <c r="C70" s="74"/>
      <c r="D70" s="74"/>
      <c r="E70" s="74"/>
      <c r="F70" s="75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</row>
    <row r="71" spans="1:30" x14ac:dyDescent="0.25">
      <c r="A71" s="74"/>
      <c r="B71" s="74"/>
      <c r="C71" s="74"/>
      <c r="D71" s="74"/>
      <c r="E71" s="74"/>
      <c r="F71" s="75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</row>
    <row r="72" spans="1:30" x14ac:dyDescent="0.25">
      <c r="A72" s="74"/>
      <c r="B72" s="74"/>
      <c r="C72" s="74"/>
      <c r="D72" s="74"/>
      <c r="E72" s="74"/>
      <c r="F72" s="75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</row>
    <row r="73" spans="1:30" x14ac:dyDescent="0.25">
      <c r="A73" s="74"/>
      <c r="B73" s="74"/>
      <c r="C73" s="74"/>
      <c r="D73" s="74"/>
      <c r="E73" s="74"/>
      <c r="F73" s="75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</row>
    <row r="74" spans="1:30" x14ac:dyDescent="0.25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</row>
    <row r="75" spans="1:30" x14ac:dyDescent="0.25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</row>
    <row r="76" spans="1:30" x14ac:dyDescent="0.25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</row>
    <row r="77" spans="1:30" x14ac:dyDescent="0.25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</row>
    <row r="78" spans="1:30" x14ac:dyDescent="0.2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</row>
    <row r="79" spans="1:30" x14ac:dyDescent="0.25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</row>
    <row r="80" spans="1:30" x14ac:dyDescent="0.25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</row>
    <row r="81" spans="1:30" x14ac:dyDescent="0.25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</row>
    <row r="82" spans="1:30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</row>
    <row r="83" spans="1:30" x14ac:dyDescent="0.25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</row>
    <row r="84" spans="1:30" x14ac:dyDescent="0.25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</row>
    <row r="85" spans="1:30" x14ac:dyDescent="0.25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</row>
    <row r="86" spans="1:30" x14ac:dyDescent="0.25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</row>
    <row r="87" spans="1:30" x14ac:dyDescent="0.25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</row>
    <row r="88" spans="1:30" x14ac:dyDescent="0.25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</row>
    <row r="89" spans="1:30" x14ac:dyDescent="0.25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</row>
    <row r="90" spans="1:30" x14ac:dyDescent="0.25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</row>
    <row r="91" spans="1:30" x14ac:dyDescent="0.25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</row>
    <row r="92" spans="1:30" x14ac:dyDescent="0.25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</row>
    <row r="93" spans="1:30" x14ac:dyDescent="0.25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</row>
    <row r="94" spans="1:30" x14ac:dyDescent="0.25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</row>
    <row r="95" spans="1:30" x14ac:dyDescent="0.25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</row>
    <row r="96" spans="1:30" x14ac:dyDescent="0.25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</row>
    <row r="97" spans="1:30" x14ac:dyDescent="0.25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</row>
    <row r="98" spans="1:30" x14ac:dyDescent="0.25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</row>
    <row r="99" spans="1:30" x14ac:dyDescent="0.25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</row>
    <row r="100" spans="1:30" x14ac:dyDescent="0.25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</row>
    <row r="101" spans="1:30" x14ac:dyDescent="0.25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</row>
    <row r="102" spans="1:30" x14ac:dyDescent="0.25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</row>
    <row r="103" spans="1:30" x14ac:dyDescent="0.25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</row>
    <row r="104" spans="1:30" x14ac:dyDescent="0.25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</row>
    <row r="105" spans="1:30" x14ac:dyDescent="0.25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</row>
    <row r="106" spans="1:30" x14ac:dyDescent="0.25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</row>
    <row r="107" spans="1:30" x14ac:dyDescent="0.25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</row>
    <row r="108" spans="1:30" x14ac:dyDescent="0.25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</row>
    <row r="109" spans="1:30" x14ac:dyDescent="0.25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</row>
    <row r="110" spans="1:30" x14ac:dyDescent="0.25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</row>
    <row r="111" spans="1:30" x14ac:dyDescent="0.25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</row>
    <row r="112" spans="1:30" x14ac:dyDescent="0.25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</row>
    <row r="113" spans="1:30" x14ac:dyDescent="0.25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</row>
    <row r="114" spans="1:30" x14ac:dyDescent="0.25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</row>
    <row r="115" spans="1:30" x14ac:dyDescent="0.25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</row>
    <row r="116" spans="1:30" x14ac:dyDescent="0.25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</row>
    <row r="117" spans="1:30" x14ac:dyDescent="0.25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</row>
    <row r="118" spans="1:30" x14ac:dyDescent="0.25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</row>
    <row r="119" spans="1:30" x14ac:dyDescent="0.25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</row>
    <row r="120" spans="1:30" x14ac:dyDescent="0.25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</row>
    <row r="121" spans="1:30" x14ac:dyDescent="0.25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</row>
    <row r="122" spans="1:30" x14ac:dyDescent="0.25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</row>
    <row r="123" spans="1:30" x14ac:dyDescent="0.25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</row>
    <row r="124" spans="1:30" x14ac:dyDescent="0.25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</row>
    <row r="125" spans="1:30" x14ac:dyDescent="0.25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</row>
    <row r="126" spans="1:30" x14ac:dyDescent="0.25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</row>
    <row r="127" spans="1:30" x14ac:dyDescent="0.25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</row>
    <row r="128" spans="1:30" x14ac:dyDescent="0.25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</row>
    <row r="129" spans="1:30" x14ac:dyDescent="0.25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</row>
    <row r="130" spans="1:30" x14ac:dyDescent="0.25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</row>
    <row r="131" spans="1:30" x14ac:dyDescent="0.25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</row>
    <row r="132" spans="1:30" x14ac:dyDescent="0.25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</row>
    <row r="133" spans="1:30" x14ac:dyDescent="0.25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</row>
    <row r="134" spans="1:30" x14ac:dyDescent="0.25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</row>
    <row r="135" spans="1:30" x14ac:dyDescent="0.25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</row>
    <row r="136" spans="1:30" x14ac:dyDescent="0.25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</row>
    <row r="137" spans="1:30" x14ac:dyDescent="0.25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</row>
    <row r="138" spans="1:30" x14ac:dyDescent="0.25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</row>
    <row r="139" spans="1:30" x14ac:dyDescent="0.25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</row>
    <row r="140" spans="1:30" x14ac:dyDescent="0.25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</row>
    <row r="141" spans="1:30" x14ac:dyDescent="0.25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</row>
    <row r="142" spans="1:30" x14ac:dyDescent="0.25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</row>
    <row r="143" spans="1:30" x14ac:dyDescent="0.25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</row>
    <row r="144" spans="1:30" x14ac:dyDescent="0.25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</row>
    <row r="145" spans="1:30" x14ac:dyDescent="0.25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</row>
    <row r="146" spans="1:30" x14ac:dyDescent="0.25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</row>
    <row r="147" spans="1:30" x14ac:dyDescent="0.25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</row>
    <row r="148" spans="1:30" x14ac:dyDescent="0.25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</row>
    <row r="149" spans="1:30" x14ac:dyDescent="0.25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</row>
    <row r="150" spans="1:30" x14ac:dyDescent="0.25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</row>
    <row r="151" spans="1:30" x14ac:dyDescent="0.25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</row>
    <row r="152" spans="1:30" x14ac:dyDescent="0.25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</row>
    <row r="153" spans="1:30" x14ac:dyDescent="0.25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</row>
    <row r="154" spans="1:30" x14ac:dyDescent="0.25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</row>
    <row r="155" spans="1:30" x14ac:dyDescent="0.25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</row>
    <row r="156" spans="1:30" x14ac:dyDescent="0.25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</row>
    <row r="157" spans="1:30" x14ac:dyDescent="0.25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</row>
    <row r="158" spans="1:30" x14ac:dyDescent="0.25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</row>
    <row r="159" spans="1:30" x14ac:dyDescent="0.25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</row>
    <row r="160" spans="1:30" x14ac:dyDescent="0.25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</row>
    <row r="161" spans="1:30" x14ac:dyDescent="0.25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</row>
    <row r="162" spans="1:30" x14ac:dyDescent="0.25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</row>
    <row r="163" spans="1:30" x14ac:dyDescent="0.25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</row>
    <row r="164" spans="1:30" x14ac:dyDescent="0.25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</row>
    <row r="165" spans="1:30" x14ac:dyDescent="0.25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</row>
    <row r="166" spans="1:30" x14ac:dyDescent="0.25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</row>
    <row r="167" spans="1:30" x14ac:dyDescent="0.25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</row>
    <row r="168" spans="1:30" x14ac:dyDescent="0.25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</row>
    <row r="169" spans="1:30" x14ac:dyDescent="0.25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</row>
    <row r="170" spans="1:30" x14ac:dyDescent="0.25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</row>
    <row r="171" spans="1:30" x14ac:dyDescent="0.25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</row>
    <row r="172" spans="1:30" x14ac:dyDescent="0.25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</row>
    <row r="173" spans="1:30" x14ac:dyDescent="0.25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</row>
    <row r="174" spans="1:30" x14ac:dyDescent="0.25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</row>
    <row r="175" spans="1:30" x14ac:dyDescent="0.25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</row>
    <row r="176" spans="1:30" x14ac:dyDescent="0.25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</row>
    <row r="177" spans="1:30" x14ac:dyDescent="0.25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</row>
    <row r="178" spans="1:30" x14ac:dyDescent="0.25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</row>
  </sheetData>
  <sortState ref="E16:E51">
    <sortCondition ref="E16"/>
  </sortState>
  <mergeCells count="2">
    <mergeCell ref="C50:D50"/>
    <mergeCell ref="C15:D15"/>
  </mergeCells>
  <dataValidations count="5">
    <dataValidation type="list" allowBlank="1" showInputMessage="1" showErrorMessage="1" sqref="F9">
      <formula1>Categories</formula1>
    </dataValidation>
    <dataValidation type="list" allowBlank="1" showInputMessage="1" showErrorMessage="1" sqref="G9">
      <formula1>Accounts</formula1>
    </dataValidation>
    <dataValidation type="date" operator="lessThanOrEqual" allowBlank="1" showInputMessage="1" showErrorMessage="1" errorTitle="Valid Date" error="Need Valid Date" sqref="D9">
      <formula1>NOW()</formula1>
    </dataValidation>
    <dataValidation type="whole" operator="greaterThan" allowBlank="1" showInputMessage="1" showErrorMessage="1" errorTitle="Dollar Amount" error="Enter Dollar Amount" sqref="B9">
      <formula1>0</formula1>
    </dataValidation>
    <dataValidation type="list" allowBlank="1" showInputMessage="1" showErrorMessage="1" sqref="E9">
      <formula1>Payee_Payer1</formula1>
    </dataValidation>
  </dataValidations>
  <pageMargins left="0.7" right="0.7" top="0.75" bottom="0.75" header="0.3" footer="0.3"/>
  <pageSetup scale="65" orientation="landscape" horizontalDpi="4294967293" verticalDpi="300" r:id="rId1"/>
  <headerFooter>
    <oddFooter>&amp;R&amp;P
&amp;D
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AddNewInput">
                <anchor moveWithCells="1" sizeWithCells="1">
                  <from>
                    <xdr:col>8</xdr:col>
                    <xdr:colOff>619125</xdr:colOff>
                    <xdr:row>1</xdr:row>
                    <xdr:rowOff>85725</xdr:rowOff>
                  </from>
                  <to>
                    <xdr:col>10</xdr:col>
                    <xdr:colOff>247650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ddAccount">
                <anchor moveWithCells="1" sizeWithCells="1">
                  <from>
                    <xdr:col>2</xdr:col>
                    <xdr:colOff>19050</xdr:colOff>
                    <xdr:row>11</xdr:row>
                    <xdr:rowOff>9525</xdr:rowOff>
                  </from>
                  <to>
                    <xdr:col>3</xdr:col>
                    <xdr:colOff>219075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AddCategory">
                <anchor moveWithCells="1" sizeWithCells="1">
                  <from>
                    <xdr:col>6</xdr:col>
                    <xdr:colOff>9525</xdr:colOff>
                    <xdr:row>11</xdr:row>
                    <xdr:rowOff>9525</xdr:rowOff>
                  </from>
                  <to>
                    <xdr:col>7</xdr:col>
                    <xdr:colOff>504825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65"/>
  <sheetViews>
    <sheetView showWhiteSpace="0" zoomScaleNormal="100" workbookViewId="0">
      <selection activeCell="A9" sqref="A9"/>
    </sheetView>
  </sheetViews>
  <sheetFormatPr defaultRowHeight="15" x14ac:dyDescent="0.25"/>
  <cols>
    <col min="1" max="1" width="23.7109375" customWidth="1"/>
    <col min="2" max="2" width="12.7109375" customWidth="1"/>
    <col min="3" max="3" width="17.7109375" customWidth="1"/>
    <col min="4" max="4" width="12.7109375" customWidth="1"/>
    <col min="5" max="5" width="34.7109375" customWidth="1"/>
    <col min="6" max="6" width="16.7109375" customWidth="1"/>
    <col min="7" max="7" width="14.7109375" customWidth="1"/>
    <col min="8" max="8" width="23.7109375" customWidth="1"/>
    <col min="9" max="15" width="10.140625" customWidth="1"/>
  </cols>
  <sheetData>
    <row r="1" spans="1:28" ht="15" customHeight="1" x14ac:dyDescent="0.25">
      <c r="A1" s="76"/>
      <c r="B1" s="76"/>
      <c r="C1" s="7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74"/>
      <c r="AB1" s="74"/>
    </row>
    <row r="2" spans="1:28" ht="15" customHeight="1" x14ac:dyDescent="0.25">
      <c r="A2" s="34"/>
      <c r="B2" s="3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74"/>
      <c r="AB2" s="74"/>
    </row>
    <row r="3" spans="1:28" x14ac:dyDescent="0.25">
      <c r="A3" s="34"/>
      <c r="B3" s="3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74"/>
      <c r="AB3" s="74"/>
    </row>
    <row r="4" spans="1:28" x14ac:dyDescent="0.25">
      <c r="A4" s="34"/>
      <c r="B4" s="3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74"/>
      <c r="AB4" s="74"/>
    </row>
    <row r="5" spans="1:28" x14ac:dyDescent="0.25">
      <c r="A5" s="34"/>
      <c r="B5" s="3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74"/>
      <c r="AB5" s="74"/>
    </row>
    <row r="6" spans="1:28" x14ac:dyDescent="0.25">
      <c r="A6" s="34"/>
      <c r="B6" s="3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74"/>
      <c r="AB6" s="74"/>
    </row>
    <row r="7" spans="1:2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74"/>
      <c r="AB7" s="74"/>
    </row>
    <row r="8" spans="1:28" ht="15.75" thickBot="1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74"/>
      <c r="AB8" s="74"/>
    </row>
    <row r="9" spans="1:28" ht="66.75" thickBot="1" x14ac:dyDescent="0.3">
      <c r="A9" s="23" t="s">
        <v>8</v>
      </c>
      <c r="B9" s="23" t="s">
        <v>9</v>
      </c>
      <c r="C9" s="23" t="s">
        <v>10</v>
      </c>
      <c r="D9" s="23" t="s">
        <v>11</v>
      </c>
      <c r="E9" s="23" t="s">
        <v>12</v>
      </c>
      <c r="F9" s="23" t="s">
        <v>13</v>
      </c>
      <c r="G9" s="23" t="s">
        <v>0</v>
      </c>
      <c r="H9" s="23" t="s">
        <v>1</v>
      </c>
      <c r="I9" s="63" t="s">
        <v>47</v>
      </c>
      <c r="J9" s="63" t="s">
        <v>17</v>
      </c>
      <c r="K9" s="65" t="s">
        <v>48</v>
      </c>
      <c r="L9" s="65" t="s">
        <v>25</v>
      </c>
      <c r="M9" s="65" t="s">
        <v>7</v>
      </c>
      <c r="N9" s="65" t="s">
        <v>15</v>
      </c>
      <c r="O9" s="64" t="s">
        <v>49</v>
      </c>
      <c r="P9" s="37"/>
      <c r="Q9" s="36"/>
      <c r="R9" s="16"/>
      <c r="S9" s="16"/>
      <c r="T9" s="16"/>
      <c r="U9" s="16"/>
      <c r="V9" s="16"/>
      <c r="W9" s="16"/>
      <c r="X9" s="16"/>
      <c r="Y9" s="16"/>
      <c r="Z9" s="16"/>
      <c r="AA9" s="74"/>
      <c r="AB9" s="74"/>
    </row>
    <row r="10" spans="1:28" ht="15.75" thickBot="1" x14ac:dyDescent="0.3">
      <c r="A10" s="26" t="s">
        <v>79</v>
      </c>
      <c r="B10" s="27">
        <v>2</v>
      </c>
      <c r="C10" s="26" t="s">
        <v>80</v>
      </c>
      <c r="D10" s="28">
        <v>41035</v>
      </c>
      <c r="E10" s="26" t="s">
        <v>33</v>
      </c>
      <c r="F10" s="26" t="s">
        <v>7</v>
      </c>
      <c r="G10" s="26" t="s">
        <v>43</v>
      </c>
      <c r="H10" s="26" t="str">
        <f>IF(ISERROR(VLOOKUP(G10,AccountsTable,2,FALSE)),"", VLOOKUP(G10,AccountsTable,2,FALSE))</f>
        <v>Citibank</v>
      </c>
      <c r="I10" s="66" t="b">
        <f t="shared" ref="I10:O21" si="0">IF(Category=Category_headers,Dollar_Amount)</f>
        <v>0</v>
      </c>
      <c r="J10" s="67" t="b">
        <f t="shared" si="0"/>
        <v>0</v>
      </c>
      <c r="K10" s="67" t="b">
        <f t="shared" si="0"/>
        <v>0</v>
      </c>
      <c r="L10" s="67" t="b">
        <f t="shared" si="0"/>
        <v>0</v>
      </c>
      <c r="M10" s="67">
        <f t="shared" si="0"/>
        <v>2</v>
      </c>
      <c r="N10" s="67" t="b">
        <f t="shared" si="0"/>
        <v>0</v>
      </c>
      <c r="O10" s="60" t="b">
        <f t="shared" si="0"/>
        <v>0</v>
      </c>
      <c r="P10" s="36"/>
      <c r="Q10" s="36"/>
      <c r="R10" s="16"/>
      <c r="S10" s="16"/>
      <c r="T10" s="16"/>
      <c r="U10" s="16"/>
      <c r="V10" s="16"/>
      <c r="W10" s="16"/>
      <c r="X10" s="16"/>
      <c r="Y10" s="16"/>
      <c r="Z10" s="16"/>
      <c r="AA10" s="74"/>
      <c r="AB10" s="74"/>
    </row>
    <row r="11" spans="1:28" ht="15.75" thickBot="1" x14ac:dyDescent="0.3">
      <c r="A11" s="26">
        <v>12</v>
      </c>
      <c r="B11" s="27">
        <v>33</v>
      </c>
      <c r="C11" s="26" t="s">
        <v>64</v>
      </c>
      <c r="D11" s="28">
        <v>40909</v>
      </c>
      <c r="E11" s="26" t="s">
        <v>57</v>
      </c>
      <c r="F11" s="26" t="s">
        <v>7</v>
      </c>
      <c r="G11" s="26" t="s">
        <v>43</v>
      </c>
      <c r="H11" s="26" t="str">
        <f>IF(ISERROR(VLOOKUP(G11,AccountsTable,2,FALSE)),"", VLOOKUP(G11,AccountsTable,2,FALSE))</f>
        <v>Citibank</v>
      </c>
      <c r="I11" s="66" t="b">
        <f t="shared" si="0"/>
        <v>0</v>
      </c>
      <c r="J11" s="67" t="b">
        <f t="shared" si="0"/>
        <v>0</v>
      </c>
      <c r="K11" s="67" t="b">
        <f t="shared" si="0"/>
        <v>0</v>
      </c>
      <c r="L11" s="67" t="b">
        <f t="shared" si="0"/>
        <v>0</v>
      </c>
      <c r="M11" s="67">
        <f t="shared" si="0"/>
        <v>33</v>
      </c>
      <c r="N11" s="67" t="b">
        <f t="shared" si="0"/>
        <v>0</v>
      </c>
      <c r="O11" s="60" t="b">
        <f t="shared" si="0"/>
        <v>0</v>
      </c>
      <c r="P11" s="36"/>
      <c r="Q11" s="36"/>
      <c r="R11" s="16"/>
      <c r="S11" s="16"/>
      <c r="T11" s="16"/>
      <c r="U11" s="16"/>
      <c r="V11" s="16"/>
      <c r="W11" s="16"/>
      <c r="X11" s="16"/>
      <c r="Y11" s="16"/>
      <c r="Z11" s="16"/>
      <c r="AA11" s="74"/>
      <c r="AB11" s="74"/>
    </row>
    <row r="12" spans="1:28" ht="15.75" thickBot="1" x14ac:dyDescent="0.3">
      <c r="A12" s="52" t="s">
        <v>36</v>
      </c>
      <c r="B12" s="53">
        <v>1000</v>
      </c>
      <c r="C12" s="54" t="s">
        <v>7</v>
      </c>
      <c r="D12" s="55">
        <v>41338</v>
      </c>
      <c r="E12" s="54" t="s">
        <v>34</v>
      </c>
      <c r="F12" s="54" t="s">
        <v>7</v>
      </c>
      <c r="G12" s="54" t="s">
        <v>4</v>
      </c>
      <c r="H12" s="54" t="str">
        <f t="shared" ref="H12:H21" si="1">VLOOKUP(G12,AccountsTable,2,FALSE)</f>
        <v>Union Bank of Switzerland</v>
      </c>
      <c r="I12" s="66" t="b">
        <f t="shared" si="0"/>
        <v>0</v>
      </c>
      <c r="J12" s="67" t="b">
        <f t="shared" si="0"/>
        <v>0</v>
      </c>
      <c r="K12" s="67" t="b">
        <f t="shared" si="0"/>
        <v>0</v>
      </c>
      <c r="L12" s="67" t="b">
        <f t="shared" si="0"/>
        <v>0</v>
      </c>
      <c r="M12" s="67">
        <f t="shared" si="0"/>
        <v>1000</v>
      </c>
      <c r="N12" s="67" t="b">
        <f t="shared" si="0"/>
        <v>0</v>
      </c>
      <c r="O12" s="60" t="b">
        <f t="shared" si="0"/>
        <v>0</v>
      </c>
      <c r="P12" s="36"/>
      <c r="Q12" s="36"/>
      <c r="R12" s="16"/>
      <c r="S12" s="16"/>
      <c r="T12" s="16"/>
      <c r="U12" s="16"/>
      <c r="V12" s="16"/>
      <c r="W12" s="16"/>
      <c r="X12" s="16"/>
      <c r="Y12" s="16"/>
      <c r="Z12" s="16"/>
      <c r="AA12" s="74"/>
      <c r="AB12" s="74"/>
    </row>
    <row r="13" spans="1:28" ht="15.75" thickBot="1" x14ac:dyDescent="0.3">
      <c r="A13" s="26" t="s">
        <v>58</v>
      </c>
      <c r="B13" s="27">
        <v>446</v>
      </c>
      <c r="C13" s="26" t="s">
        <v>50</v>
      </c>
      <c r="D13" s="28">
        <v>41376</v>
      </c>
      <c r="E13" s="54" t="s">
        <v>57</v>
      </c>
      <c r="F13" s="26" t="s">
        <v>47</v>
      </c>
      <c r="G13" s="26" t="s">
        <v>40</v>
      </c>
      <c r="H13" s="26" t="str">
        <f t="shared" si="1"/>
        <v>Bank of the Caymans</v>
      </c>
      <c r="I13" s="68">
        <f t="shared" si="0"/>
        <v>446</v>
      </c>
      <c r="J13" s="69" t="b">
        <f t="shared" si="0"/>
        <v>0</v>
      </c>
      <c r="K13" s="69" t="b">
        <f t="shared" si="0"/>
        <v>0</v>
      </c>
      <c r="L13" s="69" t="b">
        <f t="shared" si="0"/>
        <v>0</v>
      </c>
      <c r="M13" s="69" t="b">
        <f t="shared" si="0"/>
        <v>0</v>
      </c>
      <c r="N13" s="69" t="b">
        <f t="shared" si="0"/>
        <v>0</v>
      </c>
      <c r="O13" s="61" t="b">
        <f t="shared" si="0"/>
        <v>0</v>
      </c>
      <c r="P13" s="36"/>
      <c r="Q13" s="36"/>
      <c r="R13" s="16"/>
      <c r="S13" s="16"/>
      <c r="T13" s="16"/>
      <c r="U13" s="16"/>
      <c r="V13" s="16"/>
      <c r="W13" s="16"/>
      <c r="X13" s="16"/>
      <c r="Y13" s="16"/>
      <c r="Z13" s="16"/>
      <c r="AA13" s="74"/>
      <c r="AB13" s="74"/>
    </row>
    <row r="14" spans="1:28" ht="15.75" thickBot="1" x14ac:dyDescent="0.3">
      <c r="A14" s="26" t="s">
        <v>56</v>
      </c>
      <c r="B14" s="27">
        <v>120</v>
      </c>
      <c r="C14" s="26" t="s">
        <v>29</v>
      </c>
      <c r="D14" s="28">
        <v>41389</v>
      </c>
      <c r="E14" s="54" t="s">
        <v>33</v>
      </c>
      <c r="F14" s="26" t="s">
        <v>7</v>
      </c>
      <c r="G14" s="26" t="s">
        <v>4</v>
      </c>
      <c r="H14" s="26" t="str">
        <f t="shared" si="1"/>
        <v>Union Bank of Switzerland</v>
      </c>
      <c r="I14" s="68" t="b">
        <f t="shared" si="0"/>
        <v>0</v>
      </c>
      <c r="J14" s="69" t="b">
        <f t="shared" si="0"/>
        <v>0</v>
      </c>
      <c r="K14" s="69" t="b">
        <f t="shared" si="0"/>
        <v>0</v>
      </c>
      <c r="L14" s="69" t="b">
        <f t="shared" si="0"/>
        <v>0</v>
      </c>
      <c r="M14" s="69">
        <f t="shared" si="0"/>
        <v>120</v>
      </c>
      <c r="N14" s="69" t="b">
        <f t="shared" si="0"/>
        <v>0</v>
      </c>
      <c r="O14" s="61" t="b">
        <f t="shared" si="0"/>
        <v>0</v>
      </c>
      <c r="P14" s="36"/>
      <c r="Q14" s="36"/>
      <c r="R14" s="16"/>
      <c r="S14" s="16"/>
      <c r="T14" s="16"/>
      <c r="U14" s="16"/>
      <c r="V14" s="16"/>
      <c r="W14" s="16"/>
      <c r="X14" s="16"/>
      <c r="Y14" s="16"/>
      <c r="Z14" s="16"/>
      <c r="AA14" s="74"/>
      <c r="AB14" s="74"/>
    </row>
    <row r="15" spans="1:28" ht="15.75" thickBot="1" x14ac:dyDescent="0.3">
      <c r="A15" s="26" t="s">
        <v>59</v>
      </c>
      <c r="B15" s="27">
        <v>525</v>
      </c>
      <c r="C15" s="26" t="s">
        <v>50</v>
      </c>
      <c r="D15" s="28">
        <v>41371</v>
      </c>
      <c r="E15" s="54" t="s">
        <v>60</v>
      </c>
      <c r="F15" s="26" t="s">
        <v>48</v>
      </c>
      <c r="G15" s="26" t="s">
        <v>45</v>
      </c>
      <c r="H15" s="26" t="str">
        <f t="shared" si="1"/>
        <v>Union Bank of California</v>
      </c>
      <c r="I15" s="68" t="b">
        <f t="shared" si="0"/>
        <v>0</v>
      </c>
      <c r="J15" s="69" t="b">
        <f t="shared" si="0"/>
        <v>0</v>
      </c>
      <c r="K15" s="69">
        <f t="shared" si="0"/>
        <v>525</v>
      </c>
      <c r="L15" s="69" t="b">
        <f t="shared" si="0"/>
        <v>0</v>
      </c>
      <c r="M15" s="69" t="b">
        <f t="shared" si="0"/>
        <v>0</v>
      </c>
      <c r="N15" s="69" t="b">
        <f t="shared" si="0"/>
        <v>0</v>
      </c>
      <c r="O15" s="61" t="b">
        <f t="shared" si="0"/>
        <v>0</v>
      </c>
      <c r="P15" s="36"/>
      <c r="Q15" s="36"/>
      <c r="R15" s="16"/>
      <c r="S15" s="16"/>
      <c r="T15" s="16"/>
      <c r="U15" s="16"/>
      <c r="V15" s="16"/>
      <c r="W15" s="16"/>
      <c r="X15" s="16"/>
      <c r="Y15" s="16"/>
      <c r="Z15" s="16"/>
      <c r="AA15" s="74"/>
      <c r="AB15" s="74"/>
    </row>
    <row r="16" spans="1:28" ht="15.75" thickBot="1" x14ac:dyDescent="0.3">
      <c r="A16" s="26" t="s">
        <v>62</v>
      </c>
      <c r="B16" s="27">
        <v>2366</v>
      </c>
      <c r="C16" s="26" t="s">
        <v>61</v>
      </c>
      <c r="D16" s="28">
        <v>41378</v>
      </c>
      <c r="E16" s="54" t="s">
        <v>63</v>
      </c>
      <c r="F16" s="26" t="s">
        <v>25</v>
      </c>
      <c r="G16" s="26" t="s">
        <v>5</v>
      </c>
      <c r="H16" s="26" t="str">
        <f t="shared" si="1"/>
        <v>Wells Fargo</v>
      </c>
      <c r="I16" s="68" t="b">
        <f t="shared" si="0"/>
        <v>0</v>
      </c>
      <c r="J16" s="69" t="b">
        <f t="shared" si="0"/>
        <v>0</v>
      </c>
      <c r="K16" s="69" t="b">
        <f t="shared" si="0"/>
        <v>0</v>
      </c>
      <c r="L16" s="69">
        <f t="shared" si="0"/>
        <v>2366</v>
      </c>
      <c r="M16" s="69" t="b">
        <f t="shared" si="0"/>
        <v>0</v>
      </c>
      <c r="N16" s="69" t="b">
        <f t="shared" si="0"/>
        <v>0</v>
      </c>
      <c r="O16" s="61" t="b">
        <f t="shared" si="0"/>
        <v>0</v>
      </c>
      <c r="P16" s="36"/>
      <c r="Q16" s="36"/>
      <c r="R16" s="16"/>
      <c r="S16" s="16"/>
      <c r="T16" s="16"/>
      <c r="U16" s="16"/>
      <c r="V16" s="16"/>
      <c r="W16" s="16"/>
      <c r="X16" s="16"/>
      <c r="Y16" s="16"/>
      <c r="Z16" s="16"/>
      <c r="AA16" s="74"/>
      <c r="AB16" s="74"/>
    </row>
    <row r="17" spans="1:28" ht="15.75" thickBot="1" x14ac:dyDescent="0.3">
      <c r="A17" s="26" t="s">
        <v>35</v>
      </c>
      <c r="B17" s="27">
        <v>260</v>
      </c>
      <c r="C17" s="26" t="s">
        <v>30</v>
      </c>
      <c r="D17" s="28">
        <v>41338</v>
      </c>
      <c r="E17" s="54" t="s">
        <v>31</v>
      </c>
      <c r="F17" s="26" t="s">
        <v>7</v>
      </c>
      <c r="G17" s="26" t="s">
        <v>44</v>
      </c>
      <c r="H17" s="26" t="str">
        <f t="shared" si="1"/>
        <v>Union Bank of California</v>
      </c>
      <c r="I17" s="68" t="b">
        <f t="shared" si="0"/>
        <v>0</v>
      </c>
      <c r="J17" s="69" t="b">
        <f t="shared" si="0"/>
        <v>0</v>
      </c>
      <c r="K17" s="69" t="b">
        <f t="shared" si="0"/>
        <v>0</v>
      </c>
      <c r="L17" s="69" t="b">
        <f t="shared" si="0"/>
        <v>0</v>
      </c>
      <c r="M17" s="69">
        <f t="shared" si="0"/>
        <v>260</v>
      </c>
      <c r="N17" s="69" t="b">
        <f t="shared" si="0"/>
        <v>0</v>
      </c>
      <c r="O17" s="61" t="b">
        <f t="shared" si="0"/>
        <v>0</v>
      </c>
      <c r="P17" s="36"/>
      <c r="Q17" s="36"/>
      <c r="R17" s="16"/>
      <c r="S17" s="16"/>
      <c r="T17" s="16"/>
      <c r="U17" s="16"/>
      <c r="V17" s="16"/>
      <c r="W17" s="16"/>
      <c r="X17" s="16"/>
      <c r="Y17" s="16"/>
      <c r="Z17" s="16"/>
      <c r="AA17" s="74"/>
      <c r="AB17" s="74"/>
    </row>
    <row r="18" spans="1:28" ht="15.75" thickBot="1" x14ac:dyDescent="0.3">
      <c r="A18" s="26" t="s">
        <v>54</v>
      </c>
      <c r="B18" s="27">
        <v>646</v>
      </c>
      <c r="C18" s="26" t="s">
        <v>55</v>
      </c>
      <c r="D18" s="28">
        <v>41391</v>
      </c>
      <c r="E18" s="54" t="s">
        <v>21</v>
      </c>
      <c r="F18" s="26" t="s">
        <v>15</v>
      </c>
      <c r="G18" s="26" t="s">
        <v>44</v>
      </c>
      <c r="H18" s="26" t="str">
        <f t="shared" si="1"/>
        <v>Union Bank of California</v>
      </c>
      <c r="I18" s="68" t="b">
        <f t="shared" si="0"/>
        <v>0</v>
      </c>
      <c r="J18" s="69" t="b">
        <f t="shared" si="0"/>
        <v>0</v>
      </c>
      <c r="K18" s="69" t="b">
        <f t="shared" si="0"/>
        <v>0</v>
      </c>
      <c r="L18" s="69" t="b">
        <f t="shared" si="0"/>
        <v>0</v>
      </c>
      <c r="M18" s="69" t="b">
        <f t="shared" si="0"/>
        <v>0</v>
      </c>
      <c r="N18" s="69">
        <f t="shared" si="0"/>
        <v>646</v>
      </c>
      <c r="O18" s="61" t="b">
        <f t="shared" si="0"/>
        <v>0</v>
      </c>
      <c r="P18" s="36"/>
      <c r="Q18" s="36"/>
      <c r="R18" s="16"/>
      <c r="S18" s="16"/>
      <c r="T18" s="16"/>
      <c r="U18" s="16"/>
      <c r="V18" s="16"/>
      <c r="W18" s="16"/>
      <c r="X18" s="16"/>
      <c r="Y18" s="16"/>
      <c r="Z18" s="16"/>
      <c r="AA18" s="74"/>
      <c r="AB18" s="74"/>
    </row>
    <row r="19" spans="1:28" ht="15.75" thickBot="1" x14ac:dyDescent="0.3">
      <c r="A19" s="26" t="s">
        <v>53</v>
      </c>
      <c r="B19" s="27">
        <v>1747</v>
      </c>
      <c r="C19" s="26" t="s">
        <v>16</v>
      </c>
      <c r="D19" s="28">
        <v>41370</v>
      </c>
      <c r="E19" s="54" t="s">
        <v>18</v>
      </c>
      <c r="F19" s="26" t="s">
        <v>17</v>
      </c>
      <c r="G19" s="26" t="s">
        <v>40</v>
      </c>
      <c r="H19" s="26" t="str">
        <f t="shared" si="1"/>
        <v>Bank of the Caymans</v>
      </c>
      <c r="I19" s="68" t="b">
        <f t="shared" si="0"/>
        <v>0</v>
      </c>
      <c r="J19" s="69">
        <f t="shared" si="0"/>
        <v>1747</v>
      </c>
      <c r="K19" s="69" t="b">
        <f t="shared" si="0"/>
        <v>0</v>
      </c>
      <c r="L19" s="69" t="b">
        <f t="shared" si="0"/>
        <v>0</v>
      </c>
      <c r="M19" s="69" t="b">
        <f t="shared" si="0"/>
        <v>0</v>
      </c>
      <c r="N19" s="69" t="b">
        <f t="shared" si="0"/>
        <v>0</v>
      </c>
      <c r="O19" s="61" t="b">
        <f t="shared" si="0"/>
        <v>0</v>
      </c>
      <c r="P19" s="36"/>
      <c r="Q19" s="36"/>
      <c r="R19" s="16"/>
      <c r="S19" s="16"/>
      <c r="T19" s="16"/>
      <c r="U19" s="16"/>
      <c r="V19" s="16"/>
      <c r="W19" s="16"/>
      <c r="X19" s="16"/>
      <c r="Y19" s="16"/>
      <c r="Z19" s="16"/>
      <c r="AA19" s="74"/>
      <c r="AB19" s="74"/>
    </row>
    <row r="20" spans="1:28" ht="15.75" thickBot="1" x14ac:dyDescent="0.3">
      <c r="A20" s="45" t="s">
        <v>37</v>
      </c>
      <c r="B20" s="46">
        <v>4646</v>
      </c>
      <c r="C20" s="45" t="s">
        <v>19</v>
      </c>
      <c r="D20" s="47">
        <v>41299</v>
      </c>
      <c r="E20" s="54" t="s">
        <v>20</v>
      </c>
      <c r="F20" s="45" t="s">
        <v>7</v>
      </c>
      <c r="G20" s="45" t="s">
        <v>44</v>
      </c>
      <c r="H20" s="45" t="str">
        <f t="shared" si="1"/>
        <v>Union Bank of California</v>
      </c>
      <c r="I20" s="68" t="b">
        <f t="shared" si="0"/>
        <v>0</v>
      </c>
      <c r="J20" s="69" t="b">
        <f t="shared" si="0"/>
        <v>0</v>
      </c>
      <c r="K20" s="69" t="b">
        <f t="shared" si="0"/>
        <v>0</v>
      </c>
      <c r="L20" s="69" t="b">
        <f t="shared" si="0"/>
        <v>0</v>
      </c>
      <c r="M20" s="69">
        <f t="shared" si="0"/>
        <v>4646</v>
      </c>
      <c r="N20" s="69" t="b">
        <f t="shared" si="0"/>
        <v>0</v>
      </c>
      <c r="O20" s="61" t="b">
        <f t="shared" si="0"/>
        <v>0</v>
      </c>
      <c r="P20" s="36"/>
      <c r="Q20" s="36"/>
      <c r="R20" s="16"/>
      <c r="S20" s="16"/>
      <c r="T20" s="16"/>
      <c r="U20" s="16"/>
      <c r="V20" s="16"/>
      <c r="W20" s="16"/>
      <c r="X20" s="16"/>
      <c r="Y20" s="16"/>
      <c r="Z20" s="16"/>
      <c r="AA20" s="74"/>
      <c r="AB20" s="74"/>
    </row>
    <row r="21" spans="1:28" x14ac:dyDescent="0.25">
      <c r="A21" s="45" t="s">
        <v>51</v>
      </c>
      <c r="B21" s="46">
        <v>9790</v>
      </c>
      <c r="C21" s="45" t="s">
        <v>14</v>
      </c>
      <c r="D21" s="47">
        <v>41365</v>
      </c>
      <c r="E21" s="73" t="s">
        <v>38</v>
      </c>
      <c r="F21" s="45" t="s">
        <v>49</v>
      </c>
      <c r="G21" s="45" t="s">
        <v>42</v>
      </c>
      <c r="H21" s="45" t="str">
        <f t="shared" si="1"/>
        <v>Chase</v>
      </c>
      <c r="I21" s="68" t="b">
        <f t="shared" si="0"/>
        <v>0</v>
      </c>
      <c r="J21" s="69" t="b">
        <f t="shared" si="0"/>
        <v>0</v>
      </c>
      <c r="K21" s="69" t="b">
        <f t="shared" si="0"/>
        <v>0</v>
      </c>
      <c r="L21" s="69" t="b">
        <f t="shared" si="0"/>
        <v>0</v>
      </c>
      <c r="M21" s="69" t="b">
        <f t="shared" si="0"/>
        <v>0</v>
      </c>
      <c r="N21" s="69" t="b">
        <f t="shared" si="0"/>
        <v>0</v>
      </c>
      <c r="O21" s="61">
        <f t="shared" si="0"/>
        <v>9790</v>
      </c>
      <c r="P21" s="36"/>
      <c r="Q21" s="36"/>
      <c r="R21" s="16"/>
      <c r="S21" s="16"/>
      <c r="T21" s="16"/>
      <c r="U21" s="16"/>
      <c r="V21" s="16"/>
      <c r="W21" s="16"/>
      <c r="X21" s="16"/>
      <c r="Y21" s="16"/>
      <c r="Z21" s="16"/>
      <c r="AA21" s="74"/>
      <c r="AB21" s="74"/>
    </row>
    <row r="22" spans="1:28" ht="4.5" customHeight="1" thickBot="1" x14ac:dyDescent="0.3">
      <c r="A22" s="56"/>
      <c r="B22" s="57"/>
      <c r="C22" s="58"/>
      <c r="D22" s="59"/>
      <c r="E22" s="58"/>
      <c r="F22" s="58"/>
      <c r="G22" s="58"/>
      <c r="H22" s="58"/>
      <c r="I22" s="70"/>
      <c r="J22" s="62"/>
      <c r="K22" s="62"/>
      <c r="L22" s="62"/>
      <c r="M22" s="62"/>
      <c r="N22" s="62"/>
      <c r="O22" s="51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74"/>
      <c r="AB22" s="74"/>
    </row>
    <row r="23" spans="1:28" ht="15.75" thickBot="1" x14ac:dyDescent="0.3">
      <c r="A23" s="48"/>
      <c r="B23" s="49">
        <f>SUM(Dollar_Amount)</f>
        <v>21581</v>
      </c>
      <c r="C23" s="50"/>
      <c r="D23" s="50"/>
      <c r="E23" s="50"/>
      <c r="F23" s="39"/>
      <c r="G23" s="39"/>
      <c r="H23" s="39"/>
      <c r="I23" s="38">
        <f t="shared" ref="I23:O23" si="2">SUM(I9:I21)</f>
        <v>446</v>
      </c>
      <c r="J23" s="38">
        <f t="shared" ref="J23:K23" si="3">SUM(J9:J21)</f>
        <v>1747</v>
      </c>
      <c r="K23" s="38">
        <f t="shared" si="3"/>
        <v>525</v>
      </c>
      <c r="L23" s="38">
        <f t="shared" ref="L23" si="4">SUM(L9:L21)</f>
        <v>2366</v>
      </c>
      <c r="M23" s="38">
        <f t="shared" ref="M23" si="5">SUM(M9:M21)</f>
        <v>6061</v>
      </c>
      <c r="N23" s="38">
        <f t="shared" ref="N23" si="6">SUM(N9:N21)</f>
        <v>646</v>
      </c>
      <c r="O23" s="78">
        <f t="shared" si="2"/>
        <v>9790</v>
      </c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74"/>
      <c r="AB23" s="74"/>
    </row>
    <row r="24" spans="1:2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74"/>
      <c r="AB24" s="74"/>
    </row>
    <row r="25" spans="1:2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4"/>
      <c r="AB25" s="74"/>
    </row>
    <row r="26" spans="1:2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20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74"/>
      <c r="AB26" s="74"/>
    </row>
    <row r="27" spans="1:28" x14ac:dyDescent="0.25">
      <c r="A27" s="16"/>
      <c r="B27" s="16"/>
      <c r="C27" s="16" t="s">
        <v>52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74"/>
      <c r="AB27" s="74"/>
    </row>
    <row r="28" spans="1:28" x14ac:dyDescent="0.25">
      <c r="A28" s="16"/>
      <c r="B28" s="16"/>
      <c r="C28" s="16"/>
      <c r="D28" s="16"/>
      <c r="E28" s="20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74"/>
      <c r="AB28" s="74"/>
    </row>
    <row r="29" spans="1:28" x14ac:dyDescent="0.25">
      <c r="A29" s="16"/>
      <c r="B29" s="16"/>
      <c r="C29" s="16"/>
      <c r="D29" s="16"/>
      <c r="E29" s="20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74"/>
      <c r="AB29" s="74"/>
    </row>
    <row r="30" spans="1:2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74"/>
      <c r="AB30" s="74"/>
    </row>
    <row r="31" spans="1:2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74"/>
      <c r="AB31" s="74"/>
    </row>
    <row r="32" spans="1:2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74"/>
      <c r="AB32" s="74"/>
    </row>
    <row r="33" spans="1:2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74"/>
      <c r="AB33" s="74"/>
    </row>
    <row r="34" spans="1:2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74"/>
      <c r="AB34" s="74"/>
    </row>
    <row r="35" spans="1:2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74"/>
      <c r="AB35" s="74"/>
    </row>
    <row r="36" spans="1:28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74"/>
      <c r="AB36" s="74"/>
    </row>
    <row r="37" spans="1:28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74"/>
      <c r="AB37" s="74"/>
    </row>
    <row r="38" spans="1:28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74"/>
      <c r="AB38" s="74"/>
    </row>
    <row r="39" spans="1:28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74"/>
      <c r="AB39" s="74"/>
    </row>
    <row r="40" spans="1:28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74"/>
      <c r="AB40" s="74"/>
    </row>
    <row r="41" spans="1:28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74"/>
      <c r="AB41" s="74"/>
    </row>
    <row r="42" spans="1:28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74"/>
      <c r="AB42" s="74"/>
    </row>
    <row r="43" spans="1:28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74"/>
      <c r="AB43" s="74"/>
    </row>
    <row r="44" spans="1:28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74"/>
      <c r="AB44" s="74"/>
    </row>
    <row r="45" spans="1:28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74"/>
      <c r="AB45" s="74"/>
    </row>
    <row r="46" spans="1:28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74"/>
      <c r="AB46" s="74"/>
    </row>
    <row r="47" spans="1:28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74"/>
      <c r="AB47" s="74"/>
    </row>
    <row r="48" spans="1:28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74"/>
      <c r="AB48" s="74"/>
    </row>
    <row r="49" spans="1:28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74"/>
      <c r="AB49" s="74"/>
    </row>
    <row r="50" spans="1:28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74"/>
      <c r="AB50" s="74"/>
    </row>
    <row r="51" spans="1:28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74"/>
      <c r="AB51" s="74"/>
    </row>
    <row r="52" spans="1:28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74"/>
      <c r="AB52" s="74"/>
    </row>
    <row r="53" spans="1:28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74"/>
      <c r="AB53" s="74"/>
    </row>
    <row r="54" spans="1:28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74"/>
      <c r="AB54" s="74"/>
    </row>
    <row r="55" spans="1:28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74"/>
      <c r="AB55" s="74"/>
    </row>
    <row r="56" spans="1:28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74"/>
      <c r="AB56" s="74"/>
    </row>
    <row r="57" spans="1:28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74"/>
      <c r="AB57" s="74"/>
    </row>
    <row r="58" spans="1:28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74"/>
      <c r="AB58" s="74"/>
    </row>
    <row r="59" spans="1:28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74"/>
      <c r="AB59" s="74"/>
    </row>
    <row r="60" spans="1:28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74"/>
      <c r="AB60" s="74"/>
    </row>
    <row r="61" spans="1:28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74"/>
      <c r="AB61" s="74"/>
    </row>
    <row r="62" spans="1:28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74"/>
      <c r="AB62" s="74"/>
    </row>
    <row r="63" spans="1:28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74"/>
      <c r="AB63" s="74"/>
    </row>
    <row r="64" spans="1:28" x14ac:dyDescent="0.25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</row>
    <row r="65" spans="1:28" x14ac:dyDescent="0.25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</row>
  </sheetData>
  <sortState ref="A10:H19">
    <sortCondition ref="E10"/>
  </sortState>
  <dataValidations disablePrompts="1" count="5">
    <dataValidation type="whole" operator="greaterThan" allowBlank="1" showInputMessage="1" showErrorMessage="1" errorTitle="Dollar Amount" error="Enter Dollar Amount" sqref="B10:B21">
      <formula1>0</formula1>
    </dataValidation>
    <dataValidation type="date" operator="lessThanOrEqual" allowBlank="1" showInputMessage="1" showErrorMessage="1" errorTitle="Valid Date" error="Need Valid Date" sqref="D10:D21">
      <formula1>NOW()</formula1>
    </dataValidation>
    <dataValidation type="list" allowBlank="1" showInputMessage="1" showErrorMessage="1" sqref="G10:G22">
      <formula1>Accounts</formula1>
    </dataValidation>
    <dataValidation type="list" allowBlank="1" showInputMessage="1" showErrorMessage="1" sqref="F10:F22">
      <formula1>Categories</formula1>
    </dataValidation>
    <dataValidation type="list" allowBlank="1" showInputMessage="1" showErrorMessage="1" sqref="E10:E21">
      <formula1>Payee_Payer1</formula1>
    </dataValidation>
  </dataValidations>
  <pageMargins left="0.7" right="0.7" top="0.75" bottom="0.75" header="0.3" footer="0.3"/>
  <pageSetup scale="49" orientation="landscape" horizontalDpi="4294967293" verticalDpi="300" r:id="rId1"/>
  <headerFooter>
    <oddFooter>&amp;R&amp;P
&amp;D
&amp;T</oddFooter>
  </headerFooter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ortDollarAmount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ortDescription">
                <anchor moveWithCells="1" sizeWithCells="1">
                  <from>
                    <xdr:col>2</xdr:col>
                    <xdr:colOff>47625</xdr:colOff>
                    <xdr:row>6</xdr:row>
                    <xdr:rowOff>9525</xdr:rowOff>
                  </from>
                  <to>
                    <xdr:col>2</xdr:col>
                    <xdr:colOff>1143000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ortDate">
                <anchor mov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828675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SortPayee">
                <anchor moveWithCells="1" sizeWithCells="1">
                  <from>
                    <xdr:col>4</xdr:col>
                    <xdr:colOff>523875</xdr:colOff>
                    <xdr:row>6</xdr:row>
                    <xdr:rowOff>9525</xdr:rowOff>
                  </from>
                  <to>
                    <xdr:col>4</xdr:col>
                    <xdr:colOff>1438275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SortCategory">
                <anchor moveWithCells="1">
                  <from>
                    <xdr:col>5</xdr:col>
                    <xdr:colOff>38100</xdr:colOff>
                    <xdr:row>6</xdr:row>
                    <xdr:rowOff>9525</xdr:rowOff>
                  </from>
                  <to>
                    <xdr:col>5</xdr:col>
                    <xdr:colOff>1047750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SortAccount">
                <anchor moveWithCells="1" sizeWithCells="1">
                  <from>
                    <xdr:col>6</xdr:col>
                    <xdr:colOff>28575</xdr:colOff>
                    <xdr:row>6</xdr:row>
                    <xdr:rowOff>9525</xdr:rowOff>
                  </from>
                  <to>
                    <xdr:col>6</xdr:col>
                    <xdr:colOff>942975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SortBank">
                <anchor moveWithCells="1" sizeWithCells="1">
                  <from>
                    <xdr:col>7</xdr:col>
                    <xdr:colOff>381000</xdr:colOff>
                    <xdr:row>6</xdr:row>
                    <xdr:rowOff>9525</xdr:rowOff>
                  </from>
                  <to>
                    <xdr:col>7</xdr:col>
                    <xdr:colOff>1295400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ortReference">
                <anchor moveWithCells="1" sizeWithCells="1">
                  <from>
                    <xdr:col>0</xdr:col>
                    <xdr:colOff>238125</xdr:colOff>
                    <xdr:row>6</xdr:row>
                    <xdr:rowOff>9525</xdr:rowOff>
                  </from>
                  <to>
                    <xdr:col>0</xdr:col>
                    <xdr:colOff>1247775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2" name="Button 11">
              <controlPr defaultSize="0" print="0" autoFill="0" autoPict="0" macro="[0]!PrintPASOutput">
                <anchor moveWithCells="1" sizeWithCells="1">
                  <from>
                    <xdr:col>8</xdr:col>
                    <xdr:colOff>276225</xdr:colOff>
                    <xdr:row>1</xdr:row>
                    <xdr:rowOff>104775</xdr:rowOff>
                  </from>
                  <to>
                    <xdr:col>10</xdr:col>
                    <xdr:colOff>19050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63"/>
  <sheetViews>
    <sheetView zoomScaleNormal="100" workbookViewId="0"/>
  </sheetViews>
  <sheetFormatPr defaultRowHeight="15" x14ac:dyDescent="0.25"/>
  <sheetData>
    <row r="1" spans="1:26" ht="15" customHeight="1" x14ac:dyDescent="0.25">
      <c r="A1" s="40"/>
      <c r="B1" s="40"/>
      <c r="C1" s="40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5" customHeight="1" x14ac:dyDescent="0.25">
      <c r="A2" s="34"/>
      <c r="B2" s="3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15" customHeight="1" x14ac:dyDescent="0.25">
      <c r="A3" s="34"/>
      <c r="B3" s="3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34"/>
      <c r="B4" s="3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34"/>
      <c r="B5" s="3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5">
      <c r="A6" s="34"/>
      <c r="B6" s="3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</row>
    <row r="63" spans="1:26" x14ac:dyDescent="0.2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</row>
  </sheetData>
  <pageMargins left="0.7" right="0.7" top="0.75" bottom="0.75" header="0.3" footer="0.3"/>
  <pageSetup scale="65" orientation="landscape" horizontalDpi="4294967293" verticalDpi="300" r:id="rId1"/>
  <headerFooter>
    <oddFooter>&amp;R&amp;P
&amp;D
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SChart">
                <anchor moveWithCells="1" sizeWithCells="1">
                  <from>
                    <xdr:col>17</xdr:col>
                    <xdr:colOff>323850</xdr:colOff>
                    <xdr:row>1</xdr:row>
                    <xdr:rowOff>104775</xdr:rowOff>
                  </from>
                  <to>
                    <xdr:col>19</xdr:col>
                    <xdr:colOff>200025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8"/>
  <sheetViews>
    <sheetView workbookViewId="0">
      <selection activeCell="B7" sqref="B7"/>
    </sheetView>
  </sheetViews>
  <sheetFormatPr defaultRowHeight="15" x14ac:dyDescent="0.25"/>
  <cols>
    <col min="1" max="1" width="19.7109375" bestFit="1" customWidth="1"/>
    <col min="2" max="2" width="20.140625" customWidth="1"/>
  </cols>
  <sheetData>
    <row r="1" spans="1:2" x14ac:dyDescent="0.25">
      <c r="B1" t="s">
        <v>65</v>
      </c>
    </row>
    <row r="2" spans="1:2" x14ac:dyDescent="0.25">
      <c r="A2" t="s">
        <v>66</v>
      </c>
      <c r="B2" t="b">
        <v>1</v>
      </c>
    </row>
    <row r="3" spans="1:2" x14ac:dyDescent="0.25">
      <c r="A3" t="s">
        <v>67</v>
      </c>
      <c r="B3" t="s">
        <v>68</v>
      </c>
    </row>
    <row r="4" spans="1:2" x14ac:dyDescent="0.25">
      <c r="A4" t="s">
        <v>71</v>
      </c>
      <c r="B4" t="s">
        <v>69</v>
      </c>
    </row>
    <row r="5" spans="1:2" x14ac:dyDescent="0.25">
      <c r="A5" t="s">
        <v>70</v>
      </c>
      <c r="B5" t="s">
        <v>72</v>
      </c>
    </row>
    <row r="6" spans="1:2" x14ac:dyDescent="0.25">
      <c r="A6" t="s">
        <v>73</v>
      </c>
      <c r="B6" t="s">
        <v>74</v>
      </c>
    </row>
    <row r="7" spans="1:2" x14ac:dyDescent="0.25">
      <c r="A7" t="s">
        <v>75</v>
      </c>
      <c r="B7" t="s">
        <v>76</v>
      </c>
    </row>
    <row r="8" spans="1:2" x14ac:dyDescent="0.25">
      <c r="A8" t="s">
        <v>77</v>
      </c>
      <c r="B8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PASMain</vt:lpstr>
      <vt:lpstr>PASInput</vt:lpstr>
      <vt:lpstr>PASOutput</vt:lpstr>
      <vt:lpstr>PASChart</vt:lpstr>
      <vt:lpstr>Settings</vt:lpstr>
      <vt:lpstr>Account</vt:lpstr>
      <vt:lpstr>Accounts</vt:lpstr>
      <vt:lpstr>AccountsTable</vt:lpstr>
      <vt:lpstr>Bank_Issuer</vt:lpstr>
      <vt:lpstr>Categories</vt:lpstr>
      <vt:lpstr>Category</vt:lpstr>
      <vt:lpstr>Category_headers</vt:lpstr>
      <vt:lpstr>CompleteTable</vt:lpstr>
      <vt:lpstr>Date</vt:lpstr>
      <vt:lpstr>Description</vt:lpstr>
      <vt:lpstr>Dollar_Amount</vt:lpstr>
      <vt:lpstr>EnableSoundEffects</vt:lpstr>
      <vt:lpstr>inputAccount</vt:lpstr>
      <vt:lpstr>inputBank</vt:lpstr>
      <vt:lpstr>inputCategory</vt:lpstr>
      <vt:lpstr>inputDate</vt:lpstr>
      <vt:lpstr>inputDescription</vt:lpstr>
      <vt:lpstr>inputDollarAmount</vt:lpstr>
      <vt:lpstr>inputPayee</vt:lpstr>
      <vt:lpstr>inputRefNo</vt:lpstr>
      <vt:lpstr>PASInputPrintArea</vt:lpstr>
      <vt:lpstr>Payee_Payer1</vt:lpstr>
      <vt:lpstr>PayeePayer</vt:lpstr>
      <vt:lpstr>PASChart!Print_Area</vt:lpstr>
      <vt:lpstr>PASOutput!Print_Area</vt:lpstr>
      <vt:lpstr>PASInput!Print_Titles</vt:lpstr>
      <vt:lpstr>PASOutput!Print_Titles</vt:lpstr>
      <vt:lpstr>Reference</vt:lpstr>
      <vt:lpstr>soundAreYouSure</vt:lpstr>
      <vt:lpstr>soundDing</vt:lpstr>
      <vt:lpstr>soundMistake</vt:lpstr>
      <vt:lpstr>SoundOooh</vt:lpstr>
      <vt:lpstr>soundRimshot</vt:lpstr>
      <vt:lpstr>soundTada</vt:lpstr>
      <vt:lpstr>SumField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Hassen, Elias</cp:lastModifiedBy>
  <cp:lastPrinted>2013-05-05T21:15:42Z</cp:lastPrinted>
  <dcterms:created xsi:type="dcterms:W3CDTF">2013-04-20T04:50:02Z</dcterms:created>
  <dcterms:modified xsi:type="dcterms:W3CDTF">2013-05-05T21:51:49Z</dcterms:modified>
</cp:coreProperties>
</file>